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defaultThemeVersion="166925"/>
  <mc:AlternateContent xmlns:mc="http://schemas.openxmlformats.org/markup-compatibility/2006">
    <mc:Choice Requires="x15">
      <x15ac:absPath xmlns:x15ac="http://schemas.microsoft.com/office/spreadsheetml/2010/11/ac" url="https://kaizenanalytixllc.sharepoint.com/sites/ProjectDeliveryProcess/Shared Documents/PDP/2.0 Pre-Project Set-up/"/>
    </mc:Choice>
  </mc:AlternateContent>
  <xr:revisionPtr revIDLastSave="0" documentId="8_{FAE83D2F-A849-4D02-ACBE-3B3D7AB30A29}" xr6:coauthVersionLast="47" xr6:coauthVersionMax="47" xr10:uidLastSave="{00000000-0000-0000-0000-000000000000}"/>
  <bookViews>
    <workbookView xWindow="-108" yWindow="-108" windowWidth="23256" windowHeight="12456" firstSheet="1" activeTab="1" xr2:uid="{5A3D05CD-434D-4A71-A8A9-2D7C27DD5D7F}"/>
  </bookViews>
  <sheets>
    <sheet name="Instructions" sheetId="7" r:id="rId1"/>
    <sheet name="Risks" sheetId="6" r:id="rId2"/>
    <sheet name="Actions" sheetId="2" r:id="rId3"/>
    <sheet name="Issues" sheetId="11" r:id="rId4"/>
    <sheet name="Decisions" sheetId="5" r:id="rId5"/>
    <sheet name="Lookup" sheetId="4" r:id="rId6"/>
  </sheets>
  <definedNames>
    <definedName name="_xlnm._FilterDatabase" localSheetId="2" hidden="1">Actions!$A$7:$K$7</definedName>
    <definedName name="_xlnm._FilterDatabase" localSheetId="4" hidden="1">Decisions!$A$7:$G$7</definedName>
    <definedName name="_xlnm._FilterDatabase" localSheetId="3" hidden="1">Issues!$A$7:$K$7</definedName>
    <definedName name="BeginWeek">#REF!</definedName>
    <definedName name="EndWeek">#REF!</definedName>
    <definedName name="issue_impact" localSheetId="2">#REF!</definedName>
    <definedName name="issue_impact" localSheetId="3">#REF!</definedName>
    <definedName name="issue_impact">#REF!</definedName>
    <definedName name="issue_status" localSheetId="2">#REF!</definedName>
    <definedName name="issue_status" localSheetId="3">#REF!</definedName>
    <definedName name="issue_status">#REF!</definedName>
    <definedName name="_xlnm.Print_Area" localSheetId="2">Actions!$7:$30</definedName>
    <definedName name="_xlnm.Print_Area" localSheetId="3">Issues!$7:$30</definedName>
    <definedName name="_xlnm.Print_Area" localSheetId="1">Risks!$A$1:$L$26</definedName>
    <definedName name="Z_0EA1D769_1D6E_4543_8127_606B8F852E59_.wvu.FilterData" localSheetId="2" hidden="1">Actions!$A$7:$H$25</definedName>
    <definedName name="Z_0EA1D769_1D6E_4543_8127_606B8F852E59_.wvu.FilterData" localSheetId="3" hidden="1">Issues!$A$7:$H$25</definedName>
    <definedName name="Z_144130F8_65E2_4F40_B0F2_87234BBB80D9_.wvu.Cols" localSheetId="2" hidden="1">Actions!#REF!</definedName>
    <definedName name="Z_144130F8_65E2_4F40_B0F2_87234BBB80D9_.wvu.Cols" localSheetId="3" hidden="1">Issues!#REF!</definedName>
    <definedName name="Z_144130F8_65E2_4F40_B0F2_87234BBB80D9_.wvu.FilterData" localSheetId="2" hidden="1">Actions!$A$7:$H$25</definedName>
    <definedName name="Z_144130F8_65E2_4F40_B0F2_87234BBB80D9_.wvu.FilterData" localSheetId="3" hidden="1">Issues!$A$7:$H$25</definedName>
    <definedName name="Z_144130F8_65E2_4F40_B0F2_87234BBB80D9_.wvu.PrintTitles" localSheetId="2" hidden="1">Actions!$7:$7</definedName>
    <definedName name="Z_144130F8_65E2_4F40_B0F2_87234BBB80D9_.wvu.PrintTitles" localSheetId="3" hidden="1">Issues!$7:$7</definedName>
    <definedName name="Z_17F75C2D_19C0_4EB9_96FF_346E90C5069C_.wvu.FilterData" localSheetId="2" hidden="1">Actions!$A$7:$H$25</definedName>
    <definedName name="Z_17F75C2D_19C0_4EB9_96FF_346E90C5069C_.wvu.FilterData" localSheetId="3" hidden="1">Issues!$A$7:$H$25</definedName>
    <definedName name="Z_4073B733_A37E_4A0D_B79B_52EF436F0499_.wvu.FilterData" localSheetId="2" hidden="1">Actions!$A$7:$H$25</definedName>
    <definedName name="Z_4073B733_A37E_4A0D_B79B_52EF436F0499_.wvu.FilterData" localSheetId="3" hidden="1">Issues!$A$7:$H$25</definedName>
    <definedName name="Z_77FECFB0_3A70_49EB_AD0F_8592C08DDE50_.wvu.FilterData" localSheetId="2" hidden="1">Actions!$A$7:$H$25</definedName>
    <definedName name="Z_77FECFB0_3A70_49EB_AD0F_8592C08DDE50_.wvu.FilterData" localSheetId="3" hidden="1">Issues!$A$7:$H$25</definedName>
    <definedName name="Z_77FECFB0_3A70_49EB_AD0F_8592C08DDE50_.wvu.PrintArea" localSheetId="2" hidden="1">Actions!$A$7:$H$25</definedName>
    <definedName name="Z_77FECFB0_3A70_49EB_AD0F_8592C08DDE50_.wvu.PrintArea" localSheetId="3" hidden="1">Issues!$A$7:$H$25</definedName>
    <definedName name="Z_895C2F0A_2B10_4E8A_A1D0_276FA10D8103_.wvu.FilterData" localSheetId="2" hidden="1">Actions!$A$7:$H$25</definedName>
    <definedName name="Z_895C2F0A_2B10_4E8A_A1D0_276FA10D8103_.wvu.FilterData" localSheetId="3" hidden="1">Issues!$A$7:$H$25</definedName>
    <definedName name="Z_931B2D5F_32D1_4E28_A73D_5441F8C30578_.wvu.Cols" localSheetId="2" hidden="1">Actions!$F:$H</definedName>
    <definedName name="Z_931B2D5F_32D1_4E28_A73D_5441F8C30578_.wvu.Cols" localSheetId="3" hidden="1">Issues!$F:$H</definedName>
    <definedName name="Z_931B2D5F_32D1_4E28_A73D_5441F8C30578_.wvu.FilterData" localSheetId="2" hidden="1">Actions!$A$7:$H$25</definedName>
    <definedName name="Z_931B2D5F_32D1_4E28_A73D_5441F8C30578_.wvu.FilterData" localSheetId="3" hidden="1">Issues!$A$7:$H$25</definedName>
    <definedName name="Z_B851DE77_F0EB_45AC_97E1_E82DA5462A17_.wvu.Cols" localSheetId="2" hidden="1">Actions!#REF!</definedName>
    <definedName name="Z_B851DE77_F0EB_45AC_97E1_E82DA5462A17_.wvu.Cols" localSheetId="3" hidden="1">Issues!#REF!</definedName>
    <definedName name="Z_B851DE77_F0EB_45AC_97E1_E82DA5462A17_.wvu.FilterData" localSheetId="2" hidden="1">Actions!$A$7:$H$18</definedName>
    <definedName name="Z_B851DE77_F0EB_45AC_97E1_E82DA5462A17_.wvu.FilterData" localSheetId="3" hidden="1">Issues!$A$7:$H$18</definedName>
    <definedName name="Z_B851DE77_F0EB_45AC_97E1_E82DA5462A17_.wvu.PrintTitles" localSheetId="2" hidden="1">Actions!$7:$7</definedName>
    <definedName name="Z_B851DE77_F0EB_45AC_97E1_E82DA5462A17_.wvu.PrintTitles" localSheetId="3" hidden="1">Issues!$7:$7</definedName>
    <definedName name="Z_D45FA357_5585_487B_8B3E_FEEBF07CED55_.wvu.FilterData" localSheetId="2" hidden="1">Actions!$A$7:$H$25</definedName>
    <definedName name="Z_D45FA357_5585_487B_8B3E_FEEBF07CED55_.wvu.FilterData" localSheetId="3" hidden="1">Issues!$A$7:$H$25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 i="6" l="1"/>
  <c r="C5" i="6" s="1"/>
  <c r="C5" i="2" s="1"/>
  <c r="A14" i="5"/>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 i="11"/>
  <c r="A3" i="11"/>
  <c r="A2" i="11"/>
  <c r="A4" i="2"/>
  <c r="A3" i="2"/>
  <c r="A2" i="2"/>
  <c r="A4" i="5"/>
  <c r="A3" i="5"/>
  <c r="A2" i="5"/>
  <c r="C5" i="5" l="1"/>
  <c r="C5" i="11"/>
</calcChain>
</file>

<file path=xl/sharedStrings.xml><?xml version="1.0" encoding="utf-8"?>
<sst xmlns="http://schemas.openxmlformats.org/spreadsheetml/2006/main" count="113" uniqueCount="81">
  <si>
    <t>RAID Log Instructions</t>
  </si>
  <si>
    <t>General:</t>
  </si>
  <si>
    <t>Add project team members names to the list in the lookup tab</t>
  </si>
  <si>
    <t>Add any categories you may want for Actions, Issues and Decisions to the list in the lookup tab</t>
  </si>
  <si>
    <t>Fill in the Project Name, Projects Managers on the Risks tab they will populate to the other tabs</t>
  </si>
  <si>
    <t>Last Updated date will update based on the current date from the risks tab</t>
  </si>
  <si>
    <t xml:space="preserve">Risks:  An uncertain event or condition, that if it occurs, has a positive or negative effect on a project's objective. </t>
  </si>
  <si>
    <t>Risks should be identified with the project team including the client at the beginning of the project and the likelihood and impact should be agreed upon</t>
  </si>
  <si>
    <t>You should focus your efforts on those risks which have a higher likelihood of occurring</t>
  </si>
  <si>
    <t>You should review your risks regularly to se if they need to be updated or plans for handling them need to be adjusted</t>
  </si>
  <si>
    <t>Actions:  This is a joint project team to-do list. Use this log to record tasks that the project team members are going to do that are not captured in a sprint or project planning.</t>
  </si>
  <si>
    <t>Record and track project team to-do items</t>
  </si>
  <si>
    <t xml:space="preserve">Issues:  If something has occurred, it is a fact or an issue. A “risk” is a convenient way of describing an unknown state that may occur in the future. </t>
  </si>
  <si>
    <t>Issues should be recorded and tracked on an ongoing basis with the core team.</t>
  </si>
  <si>
    <t>Decisions:  The decision log is a list of all the key decisions made on the project. It includes: A reference for the decision. Date decision made. What was agreed and why.</t>
  </si>
  <si>
    <t>Recording key decisions for a project is important especially when changes to scope, timelines and people occur.  It allows the project team to be aware of decisions that have helped to guide the project and see if they need to be revisited.</t>
  </si>
  <si>
    <t>Risk Register</t>
  </si>
  <si>
    <t>Project name:</t>
  </si>
  <si>
    <t>Kaizen Project manager:</t>
  </si>
  <si>
    <t>Client Project manager:</t>
  </si>
  <si>
    <t>Last Updated:</t>
  </si>
  <si>
    <t>Risk ID</t>
  </si>
  <si>
    <t>Date raised</t>
  </si>
  <si>
    <t>Created By</t>
  </si>
  <si>
    <t>Risk description</t>
  </si>
  <si>
    <t>Likelihood of the risk occurring</t>
  </si>
  <si>
    <t>Impact if the risk occurs</t>
  </si>
  <si>
    <r>
      <t>Owner</t>
    </r>
    <r>
      <rPr>
        <i/>
        <sz val="11"/>
        <color theme="0"/>
        <rFont val="Arial"/>
        <family val="2"/>
      </rPr>
      <t xml:space="preserve">
Person who will manage the risk. </t>
    </r>
  </si>
  <si>
    <t>Risk Strategy</t>
  </si>
  <si>
    <r>
      <t xml:space="preserve">Mitigating action
</t>
    </r>
    <r>
      <rPr>
        <i/>
        <sz val="11"/>
        <color theme="0"/>
        <rFont val="Arial"/>
        <family val="2"/>
      </rPr>
      <t>Actions to mitigate the risk e.g. reduce the likelihood.</t>
    </r>
  </si>
  <si>
    <r>
      <t xml:space="preserve">Contingent action
</t>
    </r>
    <r>
      <rPr>
        <i/>
        <sz val="11"/>
        <color theme="0"/>
        <rFont val="Arial"/>
        <family val="2"/>
      </rPr>
      <t>Action to be taken if the risk happens.</t>
    </r>
  </si>
  <si>
    <t>Progress on actions</t>
  </si>
  <si>
    <t>Status</t>
  </si>
  <si>
    <t>Notes</t>
  </si>
  <si>
    <t>[enter date]</t>
  </si>
  <si>
    <t>Bobby</t>
  </si>
  <si>
    <t>Project purpose and need is not well-defined.</t>
  </si>
  <si>
    <t>Medium</t>
  </si>
  <si>
    <t>High</t>
  </si>
  <si>
    <t>Project Sponsor</t>
  </si>
  <si>
    <t>Acceptance</t>
  </si>
  <si>
    <t xml:space="preserve">Complete a business case if not already provided and ensure purpose is well defined on Project Charter and PID. </t>
  </si>
  <si>
    <t xml:space="preserve">Escalate to the Project Board with an assessment of the risk of runaway costs/never-ending project. </t>
  </si>
  <si>
    <t xml:space="preserve">Business case re-written with clear deliverables and submitted to the project board for approval. </t>
  </si>
  <si>
    <t>Open</t>
  </si>
  <si>
    <t>Actions Log</t>
  </si>
  <si>
    <t>Action ID</t>
  </si>
  <si>
    <t>Category</t>
  </si>
  <si>
    <t>Reported / Requested By</t>
  </si>
  <si>
    <t>Priority</t>
  </si>
  <si>
    <t>Description</t>
  </si>
  <si>
    <t>Current Owner</t>
  </si>
  <si>
    <t>Expected Resolution Date</t>
  </si>
  <si>
    <t>Date Resolved / Completed</t>
  </si>
  <si>
    <t>Notes / Details</t>
  </si>
  <si>
    <t>Low</t>
  </si>
  <si>
    <t>Issues Log</t>
  </si>
  <si>
    <t>Decisions Log</t>
  </si>
  <si>
    <t>ID</t>
  </si>
  <si>
    <t>Date</t>
  </si>
  <si>
    <t>Decision</t>
  </si>
  <si>
    <t>Details</t>
  </si>
  <si>
    <t>Additional Comments</t>
  </si>
  <si>
    <t>Brands in Scope</t>
  </si>
  <si>
    <t>All brand groups are in scope (Supercuts, SmartStyle, Signature Style, TBG). Exclusions: Sassoon Academy, Sassoon Salon, Vidal Sassoon, Mitchell's Hairstyling, CityLooks, CoolCuts4Kids. Maintained in "Brand_Exclusions" parameter template. 
Only active, corporate salons will be priced</t>
  </si>
  <si>
    <t>Confirmed by Core Team</t>
  </si>
  <si>
    <t>Configurable parameter: To update pricing templates if future adjustments required</t>
  </si>
  <si>
    <t>Staff</t>
  </si>
  <si>
    <t>Decision Status</t>
  </si>
  <si>
    <t>Categories</t>
  </si>
  <si>
    <t>Blair</t>
  </si>
  <si>
    <t>TBD</t>
  </si>
  <si>
    <t>Complete</t>
  </si>
  <si>
    <t>Draft</t>
  </si>
  <si>
    <t>Mitigation</t>
  </si>
  <si>
    <t>In Progress</t>
  </si>
  <si>
    <t>Confirmed</t>
  </si>
  <si>
    <t>Transference</t>
  </si>
  <si>
    <t>On Hold</t>
  </si>
  <si>
    <t>Escalated</t>
  </si>
  <si>
    <t>Duplicate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</si>
</sst>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21">
    <font>
      <sz val="11"/>
      <color theme="1"/>
      <name val="Calibri"/>
      <family val="2"/>
      <scheme val="minor"/>
    </font>
    <font>
      <b/>
      <sz val="11"/>
      <color theme="1"/>
      <name val="Calibri"/>
      <family val="2"/>
      <scheme val="minor"/>
    </font>
    <font>
      <sz val="10"/>
      <name val="Arial"/>
      <family val="2"/>
    </font>
    <font>
      <sz val="8"/>
      <name val="Arial"/>
      <family val="2"/>
    </font>
    <font>
      <u/>
      <sz val="10"/>
      <color indexed="12"/>
      <name val="Arial"/>
      <family val="2"/>
    </font>
    <font>
      <sz val="8"/>
      <color indexed="12"/>
      <name val="Arial"/>
      <family val="2"/>
    </font>
    <font>
      <u/>
      <sz val="11"/>
      <color theme="10"/>
      <name val="Calibri"/>
      <family val="2"/>
      <scheme val="minor"/>
    </font>
    <font>
      <sz val="24"/>
      <color theme="1"/>
      <name val="Arial"/>
      <family val="2"/>
    </font>
    <font>
      <sz val="11"/>
      <color theme="1"/>
      <name val="Arial"/>
      <family val="2"/>
    </font>
    <font>
      <sz val="14"/>
      <color indexed="23"/>
      <name val="Arial"/>
      <family val="2"/>
    </font>
    <font>
      <sz val="11"/>
      <color rgb="FFFF0000"/>
      <name val="Arial"/>
      <family val="2"/>
    </font>
    <font>
      <sz val="11"/>
      <name val="Arial"/>
      <family val="2"/>
    </font>
    <font>
      <u/>
      <sz val="11"/>
      <color theme="10"/>
      <name val="Arial"/>
      <family val="2"/>
    </font>
    <font>
      <b/>
      <sz val="11"/>
      <color theme="0"/>
      <name val="Arial"/>
      <family val="2"/>
    </font>
    <font>
      <i/>
      <sz val="11"/>
      <color theme="0"/>
      <name val="Arial"/>
      <family val="2"/>
    </font>
    <font>
      <sz val="11"/>
      <color indexed="12"/>
      <name val="Arial"/>
      <family val="2"/>
    </font>
    <font>
      <sz val="11"/>
      <color indexed="8"/>
      <name val="Arial"/>
      <family val="2"/>
    </font>
    <font>
      <sz val="8"/>
      <color indexed="10"/>
      <name val="Arial"/>
      <family val="2"/>
    </font>
    <font>
      <b/>
      <sz val="11"/>
      <name val="Arial"/>
      <family val="2"/>
    </font>
    <font>
      <sz val="11"/>
      <color theme="0"/>
      <name val="Arial"/>
      <family val="2"/>
    </font>
    <font>
      <i/>
      <sz val="11"/>
      <color theme="1"/>
      <name val="Arial"/>
      <family val="2"/>
    </font>
  </fonts>
  <fills count="5">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7"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s>
  <cellStyleXfs count="4">
    <xf numFmtId="0" fontId="0" fillId="0" borderId="0"/>
    <xf numFmtId="0" fontId="2" fillId="0" borderId="0"/>
    <xf numFmtId="0" fontId="4" fillId="0" borderId="0" applyNumberFormat="0" applyFill="0" applyBorder="0" applyAlignment="0" applyProtection="0"/>
    <xf numFmtId="0" fontId="6" fillId="0" borderId="0" applyNumberFormat="0" applyFill="0" applyBorder="0" applyAlignment="0" applyProtection="0"/>
  </cellStyleXfs>
  <cellXfs count="80">
    <xf numFmtId="0" fontId="0" fillId="0" borderId="0" xfId="0"/>
    <xf numFmtId="0" fontId="3" fillId="0" borderId="1" xfId="1" applyFont="1" applyBorder="1" applyAlignment="1">
      <alignment vertical="center"/>
    </xf>
    <xf numFmtId="0" fontId="3" fillId="0" borderId="1" xfId="1" applyFont="1" applyBorder="1" applyAlignment="1">
      <alignment horizontal="center" vertical="center"/>
    </xf>
    <xf numFmtId="0" fontId="5" fillId="0" borderId="1" xfId="1" applyFont="1" applyBorder="1" applyAlignment="1">
      <alignment vertical="center"/>
    </xf>
    <xf numFmtId="0" fontId="1" fillId="0" borderId="0" xfId="0" applyFont="1"/>
    <xf numFmtId="0" fontId="7" fillId="0" borderId="0" xfId="0" applyFont="1"/>
    <xf numFmtId="0" fontId="8" fillId="0" borderId="0" xfId="0" applyFont="1" applyAlignment="1">
      <alignment wrapText="1"/>
    </xf>
    <xf numFmtId="0" fontId="8" fillId="0" borderId="0" xfId="0" applyFont="1" applyAlignment="1">
      <alignment vertical="top" wrapText="1"/>
    </xf>
    <xf numFmtId="0" fontId="11" fillId="0" borderId="1" xfId="0" applyFont="1" applyBorder="1" applyAlignment="1">
      <alignment vertical="top" wrapText="1"/>
    </xf>
    <xf numFmtId="14" fontId="11" fillId="0" borderId="1" xfId="0" applyNumberFormat="1" applyFont="1" applyBorder="1" applyAlignment="1">
      <alignment vertical="top" wrapText="1"/>
    </xf>
    <xf numFmtId="0" fontId="12" fillId="0" borderId="1" xfId="3" applyFont="1" applyBorder="1" applyAlignment="1">
      <alignment vertical="top" wrapText="1"/>
    </xf>
    <xf numFmtId="0" fontId="12" fillId="0" borderId="1" xfId="3" applyFont="1" applyBorder="1" applyAlignment="1">
      <alignment horizontal="left" vertical="top" wrapText="1"/>
    </xf>
    <xf numFmtId="0" fontId="8" fillId="0" borderId="1" xfId="0" applyFont="1" applyBorder="1" applyAlignment="1">
      <alignment horizontal="left" vertical="top" wrapText="1"/>
    </xf>
    <xf numFmtId="0" fontId="11" fillId="0" borderId="5" xfId="0" applyFont="1" applyBorder="1" applyAlignment="1">
      <alignment vertical="top" wrapText="1"/>
    </xf>
    <xf numFmtId="0" fontId="8" fillId="0" borderId="1" xfId="0" applyFont="1" applyBorder="1" applyAlignment="1">
      <alignment vertical="top" wrapText="1"/>
    </xf>
    <xf numFmtId="0" fontId="9" fillId="0" borderId="0" xfId="0" applyFont="1"/>
    <xf numFmtId="0" fontId="13" fillId="3" borderId="1" xfId="0" applyFont="1" applyFill="1" applyBorder="1" applyAlignment="1">
      <alignment horizontal="center" vertical="center" wrapText="1"/>
    </xf>
    <xf numFmtId="0" fontId="8" fillId="0" borderId="0" xfId="0" applyFont="1" applyAlignment="1">
      <alignment horizontal="center" vertical="center" wrapText="1"/>
    </xf>
    <xf numFmtId="0" fontId="10" fillId="0" borderId="0" xfId="0" applyFont="1" applyAlignment="1">
      <alignment horizontal="center" wrapText="1"/>
    </xf>
    <xf numFmtId="0" fontId="11" fillId="0" borderId="1" xfId="0" applyFont="1" applyBorder="1" applyAlignment="1">
      <alignment horizontal="center" vertical="top" wrapText="1"/>
    </xf>
    <xf numFmtId="0" fontId="8" fillId="0" borderId="0" xfId="0" applyFont="1" applyAlignment="1">
      <alignment horizontal="center" wrapText="1"/>
    </xf>
    <xf numFmtId="0" fontId="7" fillId="0" borderId="0" xfId="0" applyFont="1" applyAlignment="1">
      <alignment horizontal="left"/>
    </xf>
    <xf numFmtId="0" fontId="9" fillId="0" borderId="0" xfId="0" applyFont="1" applyAlignment="1">
      <alignment horizontal="left"/>
    </xf>
    <xf numFmtId="0" fontId="8" fillId="0" borderId="0" xfId="0" applyFont="1"/>
    <xf numFmtId="0" fontId="8" fillId="0" borderId="4" xfId="0" applyFont="1" applyBorder="1" applyAlignment="1">
      <alignment horizontal="left" vertical="top"/>
    </xf>
    <xf numFmtId="0" fontId="8" fillId="0" borderId="4" xfId="0" applyFont="1" applyBorder="1" applyAlignment="1">
      <alignment horizontal="left" vertical="top" wrapText="1"/>
    </xf>
    <xf numFmtId="14" fontId="8" fillId="0" borderId="4" xfId="0" applyNumberFormat="1" applyFont="1" applyBorder="1" applyAlignment="1">
      <alignment horizontal="left" vertical="top"/>
    </xf>
    <xf numFmtId="0" fontId="11" fillId="0" borderId="4" xfId="0" applyFont="1" applyBorder="1" applyAlignment="1">
      <alignment horizontal="left" vertical="top" wrapText="1"/>
    </xf>
    <xf numFmtId="0" fontId="8" fillId="0" borderId="1" xfId="0" applyFont="1" applyBorder="1" applyAlignment="1">
      <alignment horizontal="center"/>
    </xf>
    <xf numFmtId="0" fontId="8" fillId="0" borderId="2" xfId="0" applyFont="1" applyBorder="1" applyAlignment="1">
      <alignment horizontal="center"/>
    </xf>
    <xf numFmtId="164" fontId="11" fillId="0" borderId="2" xfId="1" applyNumberFormat="1" applyFont="1" applyBorder="1" applyAlignment="1">
      <alignment horizontal="center" vertical="center" wrapText="1"/>
    </xf>
    <xf numFmtId="0" fontId="15" fillId="0" borderId="2" xfId="1" applyFont="1" applyBorder="1" applyAlignment="1">
      <alignment horizontal="center" vertical="center" wrapText="1"/>
    </xf>
    <xf numFmtId="0" fontId="11" fillId="0" borderId="2" xfId="1" applyFont="1" applyBorder="1" applyAlignment="1">
      <alignment horizontal="center" vertical="center" wrapText="1"/>
    </xf>
    <xf numFmtId="0" fontId="8" fillId="0" borderId="3" xfId="0" applyFont="1" applyBorder="1" applyAlignment="1">
      <alignment wrapText="1"/>
    </xf>
    <xf numFmtId="0" fontId="16" fillId="0" borderId="2" xfId="2" applyFont="1" applyBorder="1" applyAlignment="1">
      <alignment horizontal="center" vertical="center" wrapText="1"/>
    </xf>
    <xf numFmtId="14" fontId="11" fillId="0" borderId="2" xfId="2" applyNumberFormat="1" applyFont="1" applyBorder="1" applyAlignment="1">
      <alignment horizontal="center" vertical="center" wrapText="1"/>
    </xf>
    <xf numFmtId="0" fontId="16" fillId="0" borderId="2" xfId="1" applyFont="1" applyBorder="1" applyAlignment="1">
      <alignment horizontal="center" vertical="center" wrapText="1"/>
    </xf>
    <xf numFmtId="14" fontId="11" fillId="0" borderId="2" xfId="1" applyNumberFormat="1" applyFont="1" applyBorder="1" applyAlignment="1">
      <alignment horizontal="center" vertical="center" wrapText="1"/>
    </xf>
    <xf numFmtId="0" fontId="8" fillId="0" borderId="1" xfId="0" applyFont="1" applyBorder="1" applyAlignment="1">
      <alignment wrapText="1"/>
    </xf>
    <xf numFmtId="0" fontId="17" fillId="0" borderId="1" xfId="1" applyFont="1" applyBorder="1" applyAlignment="1">
      <alignment vertical="center"/>
    </xf>
    <xf numFmtId="14" fontId="11" fillId="0" borderId="1" xfId="1" applyNumberFormat="1" applyFont="1" applyBorder="1" applyAlignment="1">
      <alignment horizontal="center" vertical="center" wrapText="1"/>
    </xf>
    <xf numFmtId="0" fontId="11" fillId="0" borderId="1" xfId="1" applyFont="1" applyBorder="1" applyAlignment="1">
      <alignment horizontal="center" vertical="center"/>
    </xf>
    <xf numFmtId="0" fontId="11" fillId="0" borderId="1" xfId="1" applyFont="1" applyBorder="1" applyAlignment="1">
      <alignment vertical="center" wrapText="1"/>
    </xf>
    <xf numFmtId="0" fontId="11" fillId="2" borderId="1" xfId="1" applyFont="1" applyFill="1" applyBorder="1" applyAlignment="1">
      <alignment vertical="center" wrapText="1"/>
    </xf>
    <xf numFmtId="0" fontId="11" fillId="0" borderId="1" xfId="1" applyFont="1" applyBorder="1" applyAlignment="1">
      <alignment horizontal="center" vertical="center" wrapText="1"/>
    </xf>
    <xf numFmtId="0" fontId="11" fillId="0" borderId="0" xfId="0" applyFont="1" applyAlignment="1">
      <alignment vertical="center" wrapText="1"/>
    </xf>
    <xf numFmtId="0" fontId="8" fillId="0" borderId="2" xfId="0" applyFont="1" applyBorder="1" applyAlignment="1">
      <alignment wrapText="1"/>
    </xf>
    <xf numFmtId="164" fontId="11" fillId="0" borderId="1" xfId="1" applyNumberFormat="1" applyFont="1" applyBorder="1" applyAlignment="1">
      <alignment horizontal="center" vertical="center"/>
    </xf>
    <xf numFmtId="0" fontId="11" fillId="0" borderId="1" xfId="1" quotePrefix="1" applyFont="1" applyBorder="1" applyAlignment="1">
      <alignment vertical="center" wrapText="1"/>
    </xf>
    <xf numFmtId="0" fontId="18" fillId="0" borderId="1" xfId="1" applyFont="1" applyBorder="1" applyAlignment="1">
      <alignment vertical="center" wrapText="1"/>
    </xf>
    <xf numFmtId="0" fontId="13" fillId="3" borderId="6" xfId="0" applyFont="1" applyFill="1" applyBorder="1" applyAlignment="1">
      <alignment horizontal="center" vertical="center" wrapText="1"/>
    </xf>
    <xf numFmtId="0" fontId="5" fillId="0" borderId="0" xfId="1" applyFont="1" applyAlignment="1">
      <alignment vertical="center"/>
    </xf>
    <xf numFmtId="0" fontId="3" fillId="0" borderId="0" xfId="1" applyFont="1" applyAlignment="1">
      <alignment vertical="center"/>
    </xf>
    <xf numFmtId="0" fontId="17" fillId="0" borderId="0" xfId="1" applyFont="1" applyAlignment="1">
      <alignment vertical="center"/>
    </xf>
    <xf numFmtId="0" fontId="3" fillId="0" borderId="0" xfId="1" applyFont="1" applyAlignment="1">
      <alignment horizontal="center" vertical="center"/>
    </xf>
    <xf numFmtId="0" fontId="16" fillId="0" borderId="6" xfId="2" applyFont="1" applyBorder="1" applyAlignment="1">
      <alignment vertical="center" wrapText="1"/>
    </xf>
    <xf numFmtId="0" fontId="16" fillId="0" borderId="6" xfId="2" applyFont="1" applyFill="1" applyBorder="1" applyAlignment="1">
      <alignment vertical="center" wrapText="1"/>
    </xf>
    <xf numFmtId="0" fontId="11" fillId="0" borderId="6" xfId="1" applyFont="1" applyBorder="1" applyAlignment="1">
      <alignment vertical="center" wrapText="1"/>
    </xf>
    <xf numFmtId="0" fontId="10" fillId="0" borderId="6" xfId="1" applyFont="1" applyBorder="1" applyAlignment="1">
      <alignment vertical="center" wrapText="1"/>
    </xf>
    <xf numFmtId="1" fontId="3" fillId="0" borderId="5" xfId="1" applyNumberFormat="1" applyFont="1" applyBorder="1" applyAlignment="1">
      <alignment horizontal="center" vertical="center"/>
    </xf>
    <xf numFmtId="164" fontId="3" fillId="0" borderId="5" xfId="1" applyNumberFormat="1" applyFont="1" applyBorder="1" applyAlignment="1">
      <alignment horizontal="center" vertical="center"/>
    </xf>
    <xf numFmtId="0" fontId="3" fillId="0" borderId="5" xfId="1" applyFont="1" applyBorder="1" applyAlignment="1">
      <alignment horizontal="center" vertical="center" wrapText="1"/>
    </xf>
    <xf numFmtId="0" fontId="3" fillId="0" borderId="5" xfId="1" applyFont="1" applyBorder="1" applyAlignment="1">
      <alignment horizontal="center" vertical="center"/>
    </xf>
    <xf numFmtId="0" fontId="3" fillId="0" borderId="5" xfId="1" applyFont="1" applyBorder="1" applyAlignment="1">
      <alignment vertical="center" wrapText="1"/>
    </xf>
    <xf numFmtId="14" fontId="3" fillId="0" borderId="5" xfId="1" applyNumberFormat="1" applyFont="1" applyBorder="1" applyAlignment="1">
      <alignment horizontal="left" vertical="center" wrapText="1"/>
    </xf>
    <xf numFmtId="0" fontId="3" fillId="0" borderId="5" xfId="1" applyFont="1" applyBorder="1" applyAlignment="1">
      <alignment vertical="center"/>
    </xf>
    <xf numFmtId="0" fontId="3" fillId="0" borderId="7" xfId="1" applyFont="1" applyBorder="1" applyAlignment="1">
      <alignment vertical="center" wrapText="1"/>
    </xf>
    <xf numFmtId="1" fontId="3" fillId="0" borderId="0" xfId="1" applyNumberFormat="1" applyFont="1" applyAlignment="1">
      <alignment horizontal="center" vertical="center"/>
    </xf>
    <xf numFmtId="164" fontId="3" fillId="0" borderId="0" xfId="1" applyNumberFormat="1" applyFont="1" applyAlignment="1">
      <alignment horizontal="center" vertical="center"/>
    </xf>
    <xf numFmtId="0" fontId="3" fillId="0" borderId="0" xfId="1" applyFont="1" applyAlignment="1">
      <alignment horizontal="center" vertical="center" wrapText="1"/>
    </xf>
    <xf numFmtId="0" fontId="3" fillId="0" borderId="0" xfId="1" applyFont="1" applyAlignment="1">
      <alignment vertical="center" wrapText="1"/>
    </xf>
    <xf numFmtId="14" fontId="3" fillId="0" borderId="0" xfId="1" applyNumberFormat="1" applyFont="1" applyAlignment="1">
      <alignment horizontal="left" vertical="center" wrapText="1"/>
    </xf>
    <xf numFmtId="0" fontId="0" fillId="4" borderId="0" xfId="0" applyFill="1"/>
    <xf numFmtId="14" fontId="8" fillId="0" borderId="0" xfId="0" applyNumberFormat="1" applyFont="1" applyAlignment="1">
      <alignment wrapText="1"/>
    </xf>
    <xf numFmtId="14" fontId="8" fillId="0" borderId="0" xfId="0" applyNumberFormat="1" applyFont="1" applyAlignment="1">
      <alignment horizontal="left" wrapText="1"/>
    </xf>
    <xf numFmtId="14" fontId="19" fillId="0" borderId="0" xfId="0" applyNumberFormat="1" applyFont="1" applyAlignment="1">
      <alignment wrapText="1"/>
    </xf>
    <xf numFmtId="0" fontId="20" fillId="0" borderId="0" xfId="0" applyFont="1"/>
    <xf numFmtId="0" fontId="7" fillId="0" borderId="0" xfId="0" applyFont="1" applyAlignment="1">
      <alignment horizontal="left" wrapText="1"/>
    </xf>
    <xf numFmtId="0" fontId="9" fillId="0" borderId="0" xfId="0" applyFont="1" applyAlignment="1">
      <alignment horizontal="left" wrapText="1"/>
    </xf>
    <xf numFmtId="0" fontId="20" fillId="0" borderId="0" xfId="0" applyFont="1" applyAlignment="1">
      <alignment wrapText="1"/>
    </xf>
  </cellXfs>
  <cellStyles count="4">
    <cellStyle name="Hyperlink" xfId="2" builtinId="8"/>
    <cellStyle name="Hyperlink 2" xfId="3" xr:uid="{F1CB60CB-853B-401C-821F-064828CAAE7B}"/>
    <cellStyle name="Normal" xfId="0" builtinId="0"/>
    <cellStyle name="Normal 2" xfId="1" xr:uid="{FB28AC01-7217-40E9-8822-264BFA2EFF56}"/>
  </cellStyles>
  <dxfs count="51">
    <dxf>
      <fill>
        <patternFill>
          <bgColor theme="8" tint="0.79998168889431442"/>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indexed="47"/>
        </patternFill>
      </fill>
    </dxf>
    <dxf>
      <fill>
        <patternFill>
          <bgColor indexed="42"/>
        </patternFill>
      </fill>
    </dxf>
    <dxf>
      <fill>
        <patternFill>
          <bgColor theme="0" tint="-0.14996795556505021"/>
        </patternFill>
      </fill>
    </dxf>
    <dxf>
      <fill>
        <patternFill>
          <bgColor indexed="47"/>
        </patternFill>
      </fill>
    </dxf>
    <dxf>
      <fill>
        <patternFill>
          <bgColor theme="0" tint="-0.14996795556505021"/>
        </patternFill>
      </fill>
    </dxf>
    <dxf>
      <fill>
        <patternFill>
          <bgColor indexed="42"/>
        </patternFill>
      </fill>
    </dxf>
    <dxf>
      <fill>
        <patternFill>
          <bgColor indexed="47"/>
        </patternFill>
      </fill>
    </dxf>
    <dxf>
      <fill>
        <patternFill>
          <bgColor indexed="42"/>
        </patternFill>
      </fill>
    </dxf>
    <dxf>
      <fill>
        <patternFill>
          <bgColor theme="0" tint="-0.14996795556505021"/>
        </patternFill>
      </fill>
    </dxf>
    <dxf>
      <fill>
        <patternFill>
          <bgColor indexed="47"/>
        </patternFill>
      </fill>
    </dxf>
    <dxf>
      <fill>
        <patternFill>
          <bgColor indexed="42"/>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indexed="47"/>
        </patternFill>
      </fill>
    </dxf>
    <dxf>
      <fill>
        <patternFill>
          <bgColor indexed="42"/>
        </patternFill>
      </fill>
    </dxf>
    <dxf>
      <fill>
        <patternFill>
          <bgColor theme="0" tint="-0.14996795556505021"/>
        </patternFill>
      </fill>
    </dxf>
    <dxf>
      <fill>
        <patternFill>
          <bgColor indexed="47"/>
        </patternFill>
      </fill>
    </dxf>
    <dxf>
      <fill>
        <patternFill>
          <bgColor theme="0" tint="-0.14996795556505021"/>
        </patternFill>
      </fill>
    </dxf>
    <dxf>
      <fill>
        <patternFill>
          <bgColor indexed="42"/>
        </patternFill>
      </fill>
    </dxf>
    <dxf>
      <fill>
        <patternFill>
          <bgColor indexed="47"/>
        </patternFill>
      </fill>
    </dxf>
    <dxf>
      <fill>
        <patternFill>
          <bgColor indexed="42"/>
        </patternFill>
      </fill>
    </dxf>
    <dxf>
      <fill>
        <patternFill>
          <bgColor theme="0" tint="-0.14996795556505021"/>
        </patternFill>
      </fill>
    </dxf>
    <dxf>
      <fill>
        <patternFill>
          <bgColor indexed="47"/>
        </patternFill>
      </fill>
    </dxf>
    <dxf>
      <fill>
        <patternFill>
          <bgColor indexed="42"/>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E40DC-A790-4714-8496-46D29A21A2B0}">
  <dimension ref="A1:A25"/>
  <sheetViews>
    <sheetView showGridLines="0" workbookViewId="0">
      <selection activeCell="A12" sqref="A12"/>
    </sheetView>
  </sheetViews>
  <sheetFormatPr defaultColWidth="9.140625" defaultRowHeight="13.9"/>
  <cols>
    <col min="1" max="1" width="206.85546875" style="6" customWidth="1"/>
    <col min="2" max="3" width="9.140625" style="23" customWidth="1"/>
    <col min="4" max="4" width="9.140625" style="23"/>
    <col min="5" max="5" width="10.7109375" style="23" customWidth="1"/>
    <col min="6" max="6" width="10" style="23" customWidth="1"/>
    <col min="7" max="16384" width="9.140625" style="23"/>
  </cols>
  <sheetData>
    <row r="1" spans="1:1" ht="30">
      <c r="A1" s="77" t="s">
        <v>0</v>
      </c>
    </row>
    <row r="3" spans="1:1" ht="17.45">
      <c r="A3" s="78" t="s">
        <v>1</v>
      </c>
    </row>
    <row r="4" spans="1:1" ht="14.45">
      <c r="A4" s="79" t="s">
        <v>2</v>
      </c>
    </row>
    <row r="5" spans="1:1" ht="14.45">
      <c r="A5" s="79" t="s">
        <v>3</v>
      </c>
    </row>
    <row r="6" spans="1:1" ht="14.45">
      <c r="A6" s="79" t="s">
        <v>4</v>
      </c>
    </row>
    <row r="7" spans="1:1" ht="14.45">
      <c r="A7" s="79" t="s">
        <v>5</v>
      </c>
    </row>
    <row r="10" spans="1:1" ht="17.45">
      <c r="A10" s="78" t="s">
        <v>6</v>
      </c>
    </row>
    <row r="11" spans="1:1" s="76" customFormat="1" ht="14.45">
      <c r="A11" s="79" t="s">
        <v>7</v>
      </c>
    </row>
    <row r="12" spans="1:1" s="76" customFormat="1" ht="14.45">
      <c r="A12" s="79" t="s">
        <v>8</v>
      </c>
    </row>
    <row r="13" spans="1:1" s="76" customFormat="1" ht="14.45">
      <c r="A13" s="79" t="s">
        <v>9</v>
      </c>
    </row>
    <row r="15" spans="1:1" ht="14.25" customHeight="1"/>
    <row r="16" spans="1:1" ht="14.25" customHeight="1">
      <c r="A16" s="78" t="s">
        <v>10</v>
      </c>
    </row>
    <row r="17" spans="1:1">
      <c r="A17" s="6" t="s">
        <v>11</v>
      </c>
    </row>
    <row r="20" spans="1:1" ht="17.45">
      <c r="A20" s="78" t="s">
        <v>12</v>
      </c>
    </row>
    <row r="21" spans="1:1" ht="14.45">
      <c r="A21" s="79" t="s">
        <v>13</v>
      </c>
    </row>
    <row r="24" spans="1:1" ht="14.25" customHeight="1">
      <c r="A24" s="78" t="s">
        <v>14</v>
      </c>
    </row>
    <row r="25" spans="1:1" ht="28.9">
      <c r="A25" s="79"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D03AF-9479-4B66-830D-F91091F7D3A5}">
  <sheetPr>
    <pageSetUpPr fitToPage="1"/>
  </sheetPr>
  <dimension ref="A1:AK27"/>
  <sheetViews>
    <sheetView showGridLines="0" tabSelected="1" zoomScale="90" zoomScaleNormal="90" workbookViewId="0">
      <pane ySplit="7" topLeftCell="A8" activePane="bottomLeft" state="frozen"/>
      <selection pane="bottomLeft" activeCell="D14" sqref="D14"/>
      <selection activeCell="D7" sqref="D7"/>
    </sheetView>
  </sheetViews>
  <sheetFormatPr defaultColWidth="9.140625" defaultRowHeight="13.9"/>
  <cols>
    <col min="1" max="1" width="6.28515625" style="20" customWidth="1"/>
    <col min="2" max="3" width="12.7109375" style="6" customWidth="1"/>
    <col min="4" max="4" width="33.85546875" style="6" customWidth="1"/>
    <col min="5" max="5" width="14.140625" style="6" customWidth="1"/>
    <col min="6" max="6" width="13.85546875" style="6" customWidth="1"/>
    <col min="7" max="8" width="13" style="6" customWidth="1"/>
    <col min="9" max="9" width="35.42578125" style="6" customWidth="1"/>
    <col min="10" max="10" width="24.5703125" style="6" customWidth="1"/>
    <col min="11" max="11" width="23.85546875" style="6" customWidth="1"/>
    <col min="12" max="12" width="9.140625" style="6"/>
    <col min="13" max="13" width="30.42578125" style="6" customWidth="1"/>
    <col min="14" max="36" width="9.140625" style="6"/>
    <col min="37" max="37" width="11.28515625" style="6" bestFit="1" customWidth="1"/>
    <col min="38" max="16384" width="9.140625" style="6"/>
  </cols>
  <sheetData>
    <row r="1" spans="1:37" ht="30">
      <c r="A1" s="21" t="s">
        <v>16</v>
      </c>
      <c r="D1" s="73"/>
      <c r="AK1" s="75">
        <f ca="1">TODAY()</f>
        <v>46209</v>
      </c>
    </row>
    <row r="2" spans="1:37" ht="17.45">
      <c r="A2" s="22" t="s">
        <v>17</v>
      </c>
    </row>
    <row r="3" spans="1:37" ht="17.45">
      <c r="A3" s="22" t="s">
        <v>18</v>
      </c>
    </row>
    <row r="4" spans="1:37" ht="17.45">
      <c r="A4" s="22" t="s">
        <v>19</v>
      </c>
    </row>
    <row r="5" spans="1:37" ht="17.45">
      <c r="A5" s="22" t="s">
        <v>20</v>
      </c>
      <c r="C5" s="73">
        <f ca="1">+$AK$1</f>
        <v>46209</v>
      </c>
    </row>
    <row r="6" spans="1:37">
      <c r="A6" s="18"/>
    </row>
    <row r="7" spans="1:37" s="17" customFormat="1" ht="75.75" customHeight="1">
      <c r="A7" s="16" t="s">
        <v>21</v>
      </c>
      <c r="B7" s="16" t="s">
        <v>22</v>
      </c>
      <c r="C7" s="16" t="s">
        <v>23</v>
      </c>
      <c r="D7" s="16" t="s">
        <v>24</v>
      </c>
      <c r="E7" s="16" t="s">
        <v>25</v>
      </c>
      <c r="F7" s="16" t="s">
        <v>26</v>
      </c>
      <c r="G7" s="16" t="s">
        <v>27</v>
      </c>
      <c r="H7" s="16" t="s">
        <v>28</v>
      </c>
      <c r="I7" s="16" t="s">
        <v>29</v>
      </c>
      <c r="J7" s="16" t="s">
        <v>30</v>
      </c>
      <c r="K7" s="16" t="s">
        <v>31</v>
      </c>
      <c r="L7" s="16" t="s">
        <v>32</v>
      </c>
      <c r="M7" s="16" t="s">
        <v>33</v>
      </c>
    </row>
    <row r="8" spans="1:37" ht="69">
      <c r="A8" s="19">
        <v>1</v>
      </c>
      <c r="B8" s="9" t="s">
        <v>34</v>
      </c>
      <c r="C8" s="9" t="s">
        <v>35</v>
      </c>
      <c r="D8" s="8" t="s">
        <v>36</v>
      </c>
      <c r="E8" s="8" t="s">
        <v>37</v>
      </c>
      <c r="F8" s="8" t="s">
        <v>38</v>
      </c>
      <c r="G8" s="8" t="s">
        <v>39</v>
      </c>
      <c r="H8" s="8" t="s">
        <v>40</v>
      </c>
      <c r="I8" s="8" t="s">
        <v>41</v>
      </c>
      <c r="J8" s="8" t="s">
        <v>42</v>
      </c>
      <c r="K8" s="8" t="s">
        <v>43</v>
      </c>
      <c r="L8" s="8" t="s">
        <v>44</v>
      </c>
      <c r="M8" s="10"/>
    </row>
    <row r="9" spans="1:37">
      <c r="A9" s="19">
        <v>2</v>
      </c>
      <c r="B9" s="9"/>
      <c r="C9" s="9"/>
      <c r="D9" s="8"/>
      <c r="E9" s="8"/>
      <c r="F9" s="8"/>
      <c r="G9" s="8"/>
      <c r="H9" s="8"/>
      <c r="I9" s="8"/>
      <c r="J9" s="8"/>
      <c r="K9" s="8"/>
      <c r="L9" s="8"/>
      <c r="M9" s="11"/>
    </row>
    <row r="10" spans="1:37">
      <c r="A10" s="19">
        <v>3</v>
      </c>
      <c r="B10" s="9"/>
      <c r="C10" s="9"/>
      <c r="D10" s="8"/>
      <c r="E10" s="8"/>
      <c r="F10" s="8"/>
      <c r="G10" s="8"/>
      <c r="H10" s="8"/>
      <c r="I10" s="8"/>
      <c r="J10" s="8"/>
      <c r="K10" s="8"/>
      <c r="L10" s="8"/>
      <c r="M10" s="11"/>
    </row>
    <row r="11" spans="1:37">
      <c r="A11" s="19">
        <v>4</v>
      </c>
      <c r="B11" s="9"/>
      <c r="C11" s="9"/>
      <c r="D11" s="8"/>
      <c r="E11" s="8"/>
      <c r="F11" s="8"/>
      <c r="G11" s="8"/>
      <c r="H11" s="8"/>
      <c r="I11" s="8"/>
      <c r="J11" s="8"/>
      <c r="K11" s="8"/>
      <c r="L11" s="8"/>
      <c r="M11" s="12"/>
    </row>
    <row r="12" spans="1:37">
      <c r="A12" s="19">
        <v>5</v>
      </c>
      <c r="B12" s="9"/>
      <c r="C12" s="9"/>
      <c r="D12" s="8"/>
      <c r="E12" s="8"/>
      <c r="F12" s="8"/>
      <c r="G12" s="8"/>
      <c r="H12" s="8"/>
      <c r="I12" s="8"/>
      <c r="J12" s="8"/>
      <c r="K12" s="8"/>
      <c r="L12" s="8"/>
      <c r="M12" s="12"/>
    </row>
    <row r="13" spans="1:37">
      <c r="A13" s="19">
        <v>6</v>
      </c>
      <c r="B13" s="9"/>
      <c r="C13" s="9"/>
      <c r="D13" s="8"/>
      <c r="E13" s="8"/>
      <c r="F13" s="8"/>
      <c r="G13" s="8"/>
      <c r="H13" s="8"/>
      <c r="I13" s="8"/>
      <c r="J13" s="8"/>
      <c r="K13" s="8"/>
      <c r="L13" s="8"/>
      <c r="M13" s="11"/>
    </row>
    <row r="14" spans="1:37">
      <c r="A14" s="19">
        <v>7</v>
      </c>
      <c r="B14" s="9"/>
      <c r="C14" s="9"/>
      <c r="D14" s="8"/>
      <c r="E14" s="8"/>
      <c r="F14" s="8"/>
      <c r="G14" s="8"/>
      <c r="H14" s="8"/>
      <c r="I14" s="8"/>
      <c r="J14" s="8"/>
      <c r="K14" s="8"/>
      <c r="L14" s="8"/>
      <c r="M14" s="12"/>
    </row>
    <row r="15" spans="1:37">
      <c r="A15" s="19">
        <v>8</v>
      </c>
      <c r="B15" s="9"/>
      <c r="C15" s="9"/>
      <c r="D15" s="8"/>
      <c r="E15" s="8"/>
      <c r="F15" s="8"/>
      <c r="G15" s="8"/>
      <c r="H15" s="8"/>
      <c r="I15" s="8"/>
      <c r="J15" s="8"/>
      <c r="K15" s="8"/>
      <c r="L15" s="8"/>
      <c r="M15" s="11"/>
    </row>
    <row r="16" spans="1:37">
      <c r="A16" s="19">
        <v>9</v>
      </c>
      <c r="B16" s="9"/>
      <c r="C16" s="9"/>
      <c r="D16" s="8"/>
      <c r="E16" s="8"/>
      <c r="F16" s="8"/>
      <c r="G16" s="8"/>
      <c r="H16" s="8"/>
      <c r="I16" s="8"/>
      <c r="J16" s="8"/>
      <c r="K16" s="8"/>
      <c r="L16" s="8"/>
      <c r="M16" s="11"/>
    </row>
    <row r="17" spans="1:13">
      <c r="A17" s="19">
        <v>10</v>
      </c>
      <c r="B17" s="9"/>
      <c r="C17" s="9"/>
      <c r="D17" s="8"/>
      <c r="E17" s="8"/>
      <c r="F17" s="8"/>
      <c r="G17" s="8"/>
      <c r="H17" s="8"/>
      <c r="I17" s="8"/>
      <c r="J17" s="8"/>
      <c r="K17" s="8"/>
      <c r="L17" s="8"/>
      <c r="M17" s="11"/>
    </row>
    <row r="18" spans="1:13">
      <c r="A18" s="19">
        <v>11</v>
      </c>
      <c r="B18" s="9"/>
      <c r="C18" s="9"/>
      <c r="D18" s="8"/>
      <c r="E18" s="8"/>
      <c r="F18" s="8"/>
      <c r="G18" s="8"/>
      <c r="H18" s="8"/>
      <c r="I18" s="8"/>
      <c r="J18" s="8"/>
      <c r="K18" s="8"/>
      <c r="L18" s="8"/>
      <c r="M18" s="11"/>
    </row>
    <row r="19" spans="1:13">
      <c r="A19" s="19">
        <v>12</v>
      </c>
      <c r="B19" s="9"/>
      <c r="C19" s="9"/>
      <c r="D19" s="8"/>
      <c r="E19" s="8"/>
      <c r="F19" s="8"/>
      <c r="G19" s="8"/>
      <c r="H19" s="8"/>
      <c r="I19" s="8"/>
      <c r="J19" s="8"/>
      <c r="K19" s="8"/>
      <c r="L19" s="8"/>
      <c r="M19" s="11"/>
    </row>
    <row r="20" spans="1:13">
      <c r="A20" s="19">
        <v>13</v>
      </c>
      <c r="B20" s="9"/>
      <c r="C20" s="9"/>
      <c r="D20" s="8"/>
      <c r="E20" s="13"/>
      <c r="F20" s="13"/>
      <c r="G20" s="8"/>
      <c r="H20" s="13"/>
      <c r="I20" s="13"/>
      <c r="J20" s="13"/>
      <c r="K20" s="13"/>
      <c r="L20" s="8"/>
      <c r="M20" s="11"/>
    </row>
    <row r="21" spans="1:13" s="7" customFormat="1">
      <c r="A21" s="19">
        <v>14</v>
      </c>
      <c r="B21" s="9"/>
      <c r="C21" s="9"/>
      <c r="D21" s="8"/>
      <c r="E21" s="8"/>
      <c r="F21" s="8"/>
      <c r="G21" s="8"/>
      <c r="H21" s="8"/>
      <c r="I21" s="8"/>
      <c r="J21" s="8"/>
      <c r="K21" s="8"/>
      <c r="L21" s="8"/>
      <c r="M21" s="12"/>
    </row>
    <row r="22" spans="1:13" s="7" customFormat="1">
      <c r="A22" s="19">
        <v>15</v>
      </c>
      <c r="B22" s="9"/>
      <c r="C22" s="9"/>
      <c r="D22" s="8"/>
      <c r="E22" s="8"/>
      <c r="F22" s="8"/>
      <c r="G22" s="8"/>
      <c r="H22" s="8"/>
      <c r="I22" s="8"/>
      <c r="J22" s="8"/>
      <c r="K22" s="8"/>
      <c r="L22" s="8"/>
      <c r="M22" s="12"/>
    </row>
    <row r="23" spans="1:13" s="7" customFormat="1">
      <c r="A23" s="19">
        <v>16</v>
      </c>
      <c r="B23" s="9"/>
      <c r="C23" s="9"/>
      <c r="D23" s="8"/>
      <c r="E23" s="8"/>
      <c r="F23" s="8"/>
      <c r="G23" s="8"/>
      <c r="H23" s="8"/>
      <c r="I23" s="8"/>
      <c r="J23" s="8"/>
      <c r="K23" s="8"/>
      <c r="L23" s="8"/>
      <c r="M23" s="11"/>
    </row>
    <row r="24" spans="1:13" s="7" customFormat="1">
      <c r="A24" s="19">
        <v>17</v>
      </c>
      <c r="B24" s="9"/>
      <c r="C24" s="9"/>
      <c r="D24" s="8"/>
      <c r="E24" s="8"/>
      <c r="F24" s="8"/>
      <c r="G24" s="8"/>
      <c r="H24" s="8"/>
      <c r="I24" s="8"/>
      <c r="J24" s="8"/>
      <c r="K24" s="8"/>
      <c r="L24" s="8"/>
      <c r="M24" s="12"/>
    </row>
    <row r="25" spans="1:13" s="7" customFormat="1">
      <c r="A25" s="19">
        <v>18</v>
      </c>
      <c r="B25" s="9"/>
      <c r="C25" s="9"/>
      <c r="D25" s="8"/>
      <c r="E25" s="8"/>
      <c r="F25" s="8"/>
      <c r="G25" s="8"/>
      <c r="H25" s="8"/>
      <c r="I25" s="8"/>
      <c r="J25" s="8"/>
      <c r="K25" s="8"/>
      <c r="L25" s="8"/>
      <c r="M25" s="12"/>
    </row>
    <row r="26" spans="1:13" s="7" customFormat="1">
      <c r="A26" s="19">
        <v>19</v>
      </c>
      <c r="B26" s="9"/>
      <c r="C26" s="9"/>
      <c r="D26" s="8"/>
      <c r="E26" s="8"/>
      <c r="F26" s="8"/>
      <c r="G26" s="8"/>
      <c r="H26" s="8"/>
      <c r="I26" s="8"/>
      <c r="J26" s="8"/>
      <c r="K26" s="8"/>
      <c r="L26" s="8"/>
      <c r="M26" s="12"/>
    </row>
    <row r="27" spans="1:13" s="7" customFormat="1">
      <c r="A27" s="19">
        <v>20</v>
      </c>
      <c r="B27" s="9"/>
      <c r="C27" s="9"/>
      <c r="D27" s="8"/>
      <c r="E27" s="14"/>
      <c r="F27" s="14"/>
      <c r="G27" s="8"/>
      <c r="H27" s="8"/>
      <c r="I27" s="14"/>
      <c r="J27" s="14"/>
      <c r="K27" s="14"/>
      <c r="L27" s="8"/>
      <c r="M27" s="11"/>
    </row>
  </sheetData>
  <conditionalFormatting sqref="E8:F27">
    <cfRule type="containsText" dxfId="50" priority="1" operator="containsText" text="Low">
      <formula>NOT(ISERROR(SEARCH("Low",E8)))</formula>
    </cfRule>
    <cfRule type="containsText" dxfId="49" priority="2" operator="containsText" text="Medium">
      <formula>NOT(ISERROR(SEARCH("Medium",E8)))</formula>
    </cfRule>
    <cfRule type="containsText" dxfId="48" priority="3" operator="containsText" text="High">
      <formula>NOT(ISERROR(SEARCH("High",E8)))</formula>
    </cfRule>
    <cfRule type="containsText" dxfId="47" priority="4" operator="containsText" text="Low">
      <formula>NOT(ISERROR(SEARCH("Low",E8)))</formula>
    </cfRule>
    <cfRule type="containsText" dxfId="46" priority="5" operator="containsText" text="Medium">
      <formula>NOT(ISERROR(SEARCH("Medium",E8)))</formula>
    </cfRule>
    <cfRule type="containsText" dxfId="45" priority="6" operator="containsText" text="Low">
      <formula>NOT(ISERROR(SEARCH("Low",E8)))</formula>
    </cfRule>
    <cfRule type="containsText" dxfId="44" priority="7" operator="containsText" text="Medium">
      <formula>NOT(ISERROR(SEARCH("Medium",E8)))</formula>
    </cfRule>
  </conditionalFormatting>
  <conditionalFormatting sqref="E8:F500">
    <cfRule type="containsText" dxfId="43" priority="8" stopIfTrue="1" operator="containsText" text="High">
      <formula>NOT(ISERROR(SEARCH("High",E8)))</formula>
    </cfRule>
    <cfRule type="containsText" dxfId="42" priority="9" stopIfTrue="1" operator="containsText" text="Low">
      <formula>NOT(ISERROR(SEARCH("Low",E8)))</formula>
    </cfRule>
    <cfRule type="containsText" dxfId="41" priority="10" stopIfTrue="1" operator="containsText" text="Medium">
      <formula>NOT(ISERROR(SEARCH("Medium",E8)))</formula>
    </cfRule>
  </conditionalFormatting>
  <pageMargins left="0.23622047244094491" right="0.23622047244094491" top="0.74803149606299213" bottom="0.74803149606299213" header="0.31496062992125984" footer="0.31496062992125984"/>
  <pageSetup scale="77" fitToHeight="7" orientation="landscape" r:id="rId1"/>
  <headerFooter>
    <oddHeader>&amp;LRisk Log</oddHeader>
    <oddFooter>&amp;Lwww.stakeholdermap.com&amp;C&amp;P of &amp;N&amp;R© T Morphy. stakeholdermap.com. 2009 - 2017</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90B0E190-1AE1-480E-B508-C161F698AD54}">
          <x14:formula1>
            <xm:f>Lookup!$E$2:$E$4</xm:f>
          </x14:formula1>
          <xm:sqref>E8:F27</xm:sqref>
        </x14:dataValidation>
        <x14:dataValidation type="list" allowBlank="1" showInputMessage="1" showErrorMessage="1" xr:uid="{D73F12A5-F79B-49AE-81F3-6585B0BD06C3}">
          <x14:formula1>
            <xm:f>Lookup!$D$2:$D$5</xm:f>
          </x14:formula1>
          <xm:sqref>H8:H27</xm:sqref>
        </x14:dataValidation>
        <x14:dataValidation type="list" allowBlank="1" showInputMessage="1" showErrorMessage="1" xr:uid="{5B1773F1-DD2A-4274-ABAB-7207A885EC3C}">
          <x14:formula1>
            <xm:f>Lookup!$B$2:$B$7</xm:f>
          </x14:formula1>
          <xm:sqref>L8:L27</xm:sqref>
        </x14:dataValidation>
        <x14:dataValidation type="list" allowBlank="1" showInputMessage="1" showErrorMessage="1" xr:uid="{99882F08-D1C6-4DD6-B251-F4A41885CB2A}">
          <x14:formula1>
            <xm:f>Lookup!$A$2:$A$37</xm:f>
          </x14:formula1>
          <xm:sqref>C8:C27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186A2-004A-4C45-B495-D53843B41837}">
  <dimension ref="A1:K208"/>
  <sheetViews>
    <sheetView showGridLines="0" zoomScale="90" zoomScaleNormal="90" workbookViewId="0">
      <pane ySplit="7" topLeftCell="A8" activePane="bottomLeft" state="frozen"/>
      <selection pane="bottomLeft" activeCell="C5" sqref="C5"/>
      <selection activeCell="D7" sqref="D7"/>
    </sheetView>
  </sheetViews>
  <sheetFormatPr defaultRowHeight="10.15"/>
  <cols>
    <col min="1" max="1" width="7.42578125" style="67" customWidth="1"/>
    <col min="2" max="2" width="11.85546875" style="67" customWidth="1"/>
    <col min="3" max="3" width="12.42578125" style="68" bestFit="1" customWidth="1"/>
    <col min="4" max="4" width="13.5703125" style="69" customWidth="1"/>
    <col min="5" max="5" width="10.5703125" style="54" bestFit="1" customWidth="1"/>
    <col min="6" max="6" width="43.5703125" style="70" customWidth="1"/>
    <col min="7" max="7" width="13" style="69" customWidth="1"/>
    <col min="8" max="8" width="13.85546875" style="71" customWidth="1"/>
    <col min="9" max="9" width="12" style="54" customWidth="1"/>
    <col min="10" max="10" width="13.42578125" style="52" customWidth="1"/>
    <col min="11" max="11" width="28.7109375" style="70" customWidth="1"/>
    <col min="12" max="245" width="9.140625" style="52"/>
    <col min="246" max="246" width="5.5703125" style="52" customWidth="1"/>
    <col min="247" max="247" width="7.85546875" style="52" customWidth="1"/>
    <col min="248" max="248" width="6.42578125" style="52" customWidth="1"/>
    <col min="249" max="249" width="5.85546875" style="52" customWidth="1"/>
    <col min="250" max="250" width="6.28515625" style="52" customWidth="1"/>
    <col min="251" max="251" width="6.5703125" style="52" customWidth="1"/>
    <col min="252" max="252" width="7.140625" style="52" customWidth="1"/>
    <col min="253" max="253" width="43.5703125" style="52" customWidth="1"/>
    <col min="254" max="254" width="28.7109375" style="52" customWidth="1"/>
    <col min="255" max="255" width="13.5703125" style="52" customWidth="1"/>
    <col min="256" max="256" width="13" style="52" customWidth="1"/>
    <col min="257" max="257" width="13.85546875" style="52" customWidth="1"/>
    <col min="258" max="258" width="7.140625" style="52" customWidth="1"/>
    <col min="259" max="259" width="9" style="52" customWidth="1"/>
    <col min="260" max="260" width="22.5703125" style="52" bestFit="1" customWidth="1"/>
    <col min="261" max="261" width="7.140625" style="52" bestFit="1" customWidth="1"/>
    <col min="262" max="501" width="9.140625" style="52"/>
    <col min="502" max="502" width="5.5703125" style="52" customWidth="1"/>
    <col min="503" max="503" width="7.85546875" style="52" customWidth="1"/>
    <col min="504" max="504" width="6.42578125" style="52" customWidth="1"/>
    <col min="505" max="505" width="5.85546875" style="52" customWidth="1"/>
    <col min="506" max="506" width="6.28515625" style="52" customWidth="1"/>
    <col min="507" max="507" width="6.5703125" style="52" customWidth="1"/>
    <col min="508" max="508" width="7.140625" style="52" customWidth="1"/>
    <col min="509" max="509" width="43.5703125" style="52" customWidth="1"/>
    <col min="510" max="510" width="28.7109375" style="52" customWidth="1"/>
    <col min="511" max="511" width="13.5703125" style="52" customWidth="1"/>
    <col min="512" max="512" width="13" style="52" customWidth="1"/>
    <col min="513" max="513" width="13.85546875" style="52" customWidth="1"/>
    <col min="514" max="514" width="7.140625" style="52" customWidth="1"/>
    <col min="515" max="515" width="9" style="52" customWidth="1"/>
    <col min="516" max="516" width="22.5703125" style="52" bestFit="1" customWidth="1"/>
    <col min="517" max="517" width="7.140625" style="52" bestFit="1" customWidth="1"/>
    <col min="518" max="757" width="9.140625" style="52"/>
    <col min="758" max="758" width="5.5703125" style="52" customWidth="1"/>
    <col min="759" max="759" width="7.85546875" style="52" customWidth="1"/>
    <col min="760" max="760" width="6.42578125" style="52" customWidth="1"/>
    <col min="761" max="761" width="5.85546875" style="52" customWidth="1"/>
    <col min="762" max="762" width="6.28515625" style="52" customWidth="1"/>
    <col min="763" max="763" width="6.5703125" style="52" customWidth="1"/>
    <col min="764" max="764" width="7.140625" style="52" customWidth="1"/>
    <col min="765" max="765" width="43.5703125" style="52" customWidth="1"/>
    <col min="766" max="766" width="28.7109375" style="52" customWidth="1"/>
    <col min="767" max="767" width="13.5703125" style="52" customWidth="1"/>
    <col min="768" max="768" width="13" style="52" customWidth="1"/>
    <col min="769" max="769" width="13.85546875" style="52" customWidth="1"/>
    <col min="770" max="770" width="7.140625" style="52" customWidth="1"/>
    <col min="771" max="771" width="9" style="52" customWidth="1"/>
    <col min="772" max="772" width="22.5703125" style="52" bestFit="1" customWidth="1"/>
    <col min="773" max="773" width="7.140625" style="52" bestFit="1" customWidth="1"/>
    <col min="774" max="1013" width="9.140625" style="52"/>
    <col min="1014" max="1014" width="5.5703125" style="52" customWidth="1"/>
    <col min="1015" max="1015" width="7.85546875" style="52" customWidth="1"/>
    <col min="1016" max="1016" width="6.42578125" style="52" customWidth="1"/>
    <col min="1017" max="1017" width="5.85546875" style="52" customWidth="1"/>
    <col min="1018" max="1018" width="6.28515625" style="52" customWidth="1"/>
    <col min="1019" max="1019" width="6.5703125" style="52" customWidth="1"/>
    <col min="1020" max="1020" width="7.140625" style="52" customWidth="1"/>
    <col min="1021" max="1021" width="43.5703125" style="52" customWidth="1"/>
    <col min="1022" max="1022" width="28.7109375" style="52" customWidth="1"/>
    <col min="1023" max="1023" width="13.5703125" style="52" customWidth="1"/>
    <col min="1024" max="1024" width="13" style="52" customWidth="1"/>
    <col min="1025" max="1025" width="13.85546875" style="52" customWidth="1"/>
    <col min="1026" max="1026" width="7.140625" style="52" customWidth="1"/>
    <col min="1027" max="1027" width="9" style="52" customWidth="1"/>
    <col min="1028" max="1028" width="22.5703125" style="52" bestFit="1" customWidth="1"/>
    <col min="1029" max="1029" width="7.140625" style="52" bestFit="1" customWidth="1"/>
    <col min="1030" max="1269" width="9.140625" style="52"/>
    <col min="1270" max="1270" width="5.5703125" style="52" customWidth="1"/>
    <col min="1271" max="1271" width="7.85546875" style="52" customWidth="1"/>
    <col min="1272" max="1272" width="6.42578125" style="52" customWidth="1"/>
    <col min="1273" max="1273" width="5.85546875" style="52" customWidth="1"/>
    <col min="1274" max="1274" width="6.28515625" style="52" customWidth="1"/>
    <col min="1275" max="1275" width="6.5703125" style="52" customWidth="1"/>
    <col min="1276" max="1276" width="7.140625" style="52" customWidth="1"/>
    <col min="1277" max="1277" width="43.5703125" style="52" customWidth="1"/>
    <col min="1278" max="1278" width="28.7109375" style="52" customWidth="1"/>
    <col min="1279" max="1279" width="13.5703125" style="52" customWidth="1"/>
    <col min="1280" max="1280" width="13" style="52" customWidth="1"/>
    <col min="1281" max="1281" width="13.85546875" style="52" customWidth="1"/>
    <col min="1282" max="1282" width="7.140625" style="52" customWidth="1"/>
    <col min="1283" max="1283" width="9" style="52" customWidth="1"/>
    <col min="1284" max="1284" width="22.5703125" style="52" bestFit="1" customWidth="1"/>
    <col min="1285" max="1285" width="7.140625" style="52" bestFit="1" customWidth="1"/>
    <col min="1286" max="1525" width="9.140625" style="52"/>
    <col min="1526" max="1526" width="5.5703125" style="52" customWidth="1"/>
    <col min="1527" max="1527" width="7.85546875" style="52" customWidth="1"/>
    <col min="1528" max="1528" width="6.42578125" style="52" customWidth="1"/>
    <col min="1529" max="1529" width="5.85546875" style="52" customWidth="1"/>
    <col min="1530" max="1530" width="6.28515625" style="52" customWidth="1"/>
    <col min="1531" max="1531" width="6.5703125" style="52" customWidth="1"/>
    <col min="1532" max="1532" width="7.140625" style="52" customWidth="1"/>
    <col min="1533" max="1533" width="43.5703125" style="52" customWidth="1"/>
    <col min="1534" max="1534" width="28.7109375" style="52" customWidth="1"/>
    <col min="1535" max="1535" width="13.5703125" style="52" customWidth="1"/>
    <col min="1536" max="1536" width="13" style="52" customWidth="1"/>
    <col min="1537" max="1537" width="13.85546875" style="52" customWidth="1"/>
    <col min="1538" max="1538" width="7.140625" style="52" customWidth="1"/>
    <col min="1539" max="1539" width="9" style="52" customWidth="1"/>
    <col min="1540" max="1540" width="22.5703125" style="52" bestFit="1" customWidth="1"/>
    <col min="1541" max="1541" width="7.140625" style="52" bestFit="1" customWidth="1"/>
    <col min="1542" max="1781" width="9.140625" style="52"/>
    <col min="1782" max="1782" width="5.5703125" style="52" customWidth="1"/>
    <col min="1783" max="1783" width="7.85546875" style="52" customWidth="1"/>
    <col min="1784" max="1784" width="6.42578125" style="52" customWidth="1"/>
    <col min="1785" max="1785" width="5.85546875" style="52" customWidth="1"/>
    <col min="1786" max="1786" width="6.28515625" style="52" customWidth="1"/>
    <col min="1787" max="1787" width="6.5703125" style="52" customWidth="1"/>
    <col min="1788" max="1788" width="7.140625" style="52" customWidth="1"/>
    <col min="1789" max="1789" width="43.5703125" style="52" customWidth="1"/>
    <col min="1790" max="1790" width="28.7109375" style="52" customWidth="1"/>
    <col min="1791" max="1791" width="13.5703125" style="52" customWidth="1"/>
    <col min="1792" max="1792" width="13" style="52" customWidth="1"/>
    <col min="1793" max="1793" width="13.85546875" style="52" customWidth="1"/>
    <col min="1794" max="1794" width="7.140625" style="52" customWidth="1"/>
    <col min="1795" max="1795" width="9" style="52" customWidth="1"/>
    <col min="1796" max="1796" width="22.5703125" style="52" bestFit="1" customWidth="1"/>
    <col min="1797" max="1797" width="7.140625" style="52" bestFit="1" customWidth="1"/>
    <col min="1798" max="2037" width="9.140625" style="52"/>
    <col min="2038" max="2038" width="5.5703125" style="52" customWidth="1"/>
    <col min="2039" max="2039" width="7.85546875" style="52" customWidth="1"/>
    <col min="2040" max="2040" width="6.42578125" style="52" customWidth="1"/>
    <col min="2041" max="2041" width="5.85546875" style="52" customWidth="1"/>
    <col min="2042" max="2042" width="6.28515625" style="52" customWidth="1"/>
    <col min="2043" max="2043" width="6.5703125" style="52" customWidth="1"/>
    <col min="2044" max="2044" width="7.140625" style="52" customWidth="1"/>
    <col min="2045" max="2045" width="43.5703125" style="52" customWidth="1"/>
    <col min="2046" max="2046" width="28.7109375" style="52" customWidth="1"/>
    <col min="2047" max="2047" width="13.5703125" style="52" customWidth="1"/>
    <col min="2048" max="2048" width="13" style="52" customWidth="1"/>
    <col min="2049" max="2049" width="13.85546875" style="52" customWidth="1"/>
    <col min="2050" max="2050" width="7.140625" style="52" customWidth="1"/>
    <col min="2051" max="2051" width="9" style="52" customWidth="1"/>
    <col min="2052" max="2052" width="22.5703125" style="52" bestFit="1" customWidth="1"/>
    <col min="2053" max="2053" width="7.140625" style="52" bestFit="1" customWidth="1"/>
    <col min="2054" max="2293" width="9.140625" style="52"/>
    <col min="2294" max="2294" width="5.5703125" style="52" customWidth="1"/>
    <col min="2295" max="2295" width="7.85546875" style="52" customWidth="1"/>
    <col min="2296" max="2296" width="6.42578125" style="52" customWidth="1"/>
    <col min="2297" max="2297" width="5.85546875" style="52" customWidth="1"/>
    <col min="2298" max="2298" width="6.28515625" style="52" customWidth="1"/>
    <col min="2299" max="2299" width="6.5703125" style="52" customWidth="1"/>
    <col min="2300" max="2300" width="7.140625" style="52" customWidth="1"/>
    <col min="2301" max="2301" width="43.5703125" style="52" customWidth="1"/>
    <col min="2302" max="2302" width="28.7109375" style="52" customWidth="1"/>
    <col min="2303" max="2303" width="13.5703125" style="52" customWidth="1"/>
    <col min="2304" max="2304" width="13" style="52" customWidth="1"/>
    <col min="2305" max="2305" width="13.85546875" style="52" customWidth="1"/>
    <col min="2306" max="2306" width="7.140625" style="52" customWidth="1"/>
    <col min="2307" max="2307" width="9" style="52" customWidth="1"/>
    <col min="2308" max="2308" width="22.5703125" style="52" bestFit="1" customWidth="1"/>
    <col min="2309" max="2309" width="7.140625" style="52" bestFit="1" customWidth="1"/>
    <col min="2310" max="2549" width="9.140625" style="52"/>
    <col min="2550" max="2550" width="5.5703125" style="52" customWidth="1"/>
    <col min="2551" max="2551" width="7.85546875" style="52" customWidth="1"/>
    <col min="2552" max="2552" width="6.42578125" style="52" customWidth="1"/>
    <col min="2553" max="2553" width="5.85546875" style="52" customWidth="1"/>
    <col min="2554" max="2554" width="6.28515625" style="52" customWidth="1"/>
    <col min="2555" max="2555" width="6.5703125" style="52" customWidth="1"/>
    <col min="2556" max="2556" width="7.140625" style="52" customWidth="1"/>
    <col min="2557" max="2557" width="43.5703125" style="52" customWidth="1"/>
    <col min="2558" max="2558" width="28.7109375" style="52" customWidth="1"/>
    <col min="2559" max="2559" width="13.5703125" style="52" customWidth="1"/>
    <col min="2560" max="2560" width="13" style="52" customWidth="1"/>
    <col min="2561" max="2561" width="13.85546875" style="52" customWidth="1"/>
    <col min="2562" max="2562" width="7.140625" style="52" customWidth="1"/>
    <col min="2563" max="2563" width="9" style="52" customWidth="1"/>
    <col min="2564" max="2564" width="22.5703125" style="52" bestFit="1" customWidth="1"/>
    <col min="2565" max="2565" width="7.140625" style="52" bestFit="1" customWidth="1"/>
    <col min="2566" max="2805" width="9.140625" style="52"/>
    <col min="2806" max="2806" width="5.5703125" style="52" customWidth="1"/>
    <col min="2807" max="2807" width="7.85546875" style="52" customWidth="1"/>
    <col min="2808" max="2808" width="6.42578125" style="52" customWidth="1"/>
    <col min="2809" max="2809" width="5.85546875" style="52" customWidth="1"/>
    <col min="2810" max="2810" width="6.28515625" style="52" customWidth="1"/>
    <col min="2811" max="2811" width="6.5703125" style="52" customWidth="1"/>
    <col min="2812" max="2812" width="7.140625" style="52" customWidth="1"/>
    <col min="2813" max="2813" width="43.5703125" style="52" customWidth="1"/>
    <col min="2814" max="2814" width="28.7109375" style="52" customWidth="1"/>
    <col min="2815" max="2815" width="13.5703125" style="52" customWidth="1"/>
    <col min="2816" max="2816" width="13" style="52" customWidth="1"/>
    <col min="2817" max="2817" width="13.85546875" style="52" customWidth="1"/>
    <col min="2818" max="2818" width="7.140625" style="52" customWidth="1"/>
    <col min="2819" max="2819" width="9" style="52" customWidth="1"/>
    <col min="2820" max="2820" width="22.5703125" style="52" bestFit="1" customWidth="1"/>
    <col min="2821" max="2821" width="7.140625" style="52" bestFit="1" customWidth="1"/>
    <col min="2822" max="3061" width="9.140625" style="52"/>
    <col min="3062" max="3062" width="5.5703125" style="52" customWidth="1"/>
    <col min="3063" max="3063" width="7.85546875" style="52" customWidth="1"/>
    <col min="3064" max="3064" width="6.42578125" style="52" customWidth="1"/>
    <col min="3065" max="3065" width="5.85546875" style="52" customWidth="1"/>
    <col min="3066" max="3066" width="6.28515625" style="52" customWidth="1"/>
    <col min="3067" max="3067" width="6.5703125" style="52" customWidth="1"/>
    <col min="3068" max="3068" width="7.140625" style="52" customWidth="1"/>
    <col min="3069" max="3069" width="43.5703125" style="52" customWidth="1"/>
    <col min="3070" max="3070" width="28.7109375" style="52" customWidth="1"/>
    <col min="3071" max="3071" width="13.5703125" style="52" customWidth="1"/>
    <col min="3072" max="3072" width="13" style="52" customWidth="1"/>
    <col min="3073" max="3073" width="13.85546875" style="52" customWidth="1"/>
    <col min="3074" max="3074" width="7.140625" style="52" customWidth="1"/>
    <col min="3075" max="3075" width="9" style="52" customWidth="1"/>
    <col min="3076" max="3076" width="22.5703125" style="52" bestFit="1" customWidth="1"/>
    <col min="3077" max="3077" width="7.140625" style="52" bestFit="1" customWidth="1"/>
    <col min="3078" max="3317" width="9.140625" style="52"/>
    <col min="3318" max="3318" width="5.5703125" style="52" customWidth="1"/>
    <col min="3319" max="3319" width="7.85546875" style="52" customWidth="1"/>
    <col min="3320" max="3320" width="6.42578125" style="52" customWidth="1"/>
    <col min="3321" max="3321" width="5.85546875" style="52" customWidth="1"/>
    <col min="3322" max="3322" width="6.28515625" style="52" customWidth="1"/>
    <col min="3323" max="3323" width="6.5703125" style="52" customWidth="1"/>
    <col min="3324" max="3324" width="7.140625" style="52" customWidth="1"/>
    <col min="3325" max="3325" width="43.5703125" style="52" customWidth="1"/>
    <col min="3326" max="3326" width="28.7109375" style="52" customWidth="1"/>
    <col min="3327" max="3327" width="13.5703125" style="52" customWidth="1"/>
    <col min="3328" max="3328" width="13" style="52" customWidth="1"/>
    <col min="3329" max="3329" width="13.85546875" style="52" customWidth="1"/>
    <col min="3330" max="3330" width="7.140625" style="52" customWidth="1"/>
    <col min="3331" max="3331" width="9" style="52" customWidth="1"/>
    <col min="3332" max="3332" width="22.5703125" style="52" bestFit="1" customWidth="1"/>
    <col min="3333" max="3333" width="7.140625" style="52" bestFit="1" customWidth="1"/>
    <col min="3334" max="3573" width="9.140625" style="52"/>
    <col min="3574" max="3574" width="5.5703125" style="52" customWidth="1"/>
    <col min="3575" max="3575" width="7.85546875" style="52" customWidth="1"/>
    <col min="3576" max="3576" width="6.42578125" style="52" customWidth="1"/>
    <col min="3577" max="3577" width="5.85546875" style="52" customWidth="1"/>
    <col min="3578" max="3578" width="6.28515625" style="52" customWidth="1"/>
    <col min="3579" max="3579" width="6.5703125" style="52" customWidth="1"/>
    <col min="3580" max="3580" width="7.140625" style="52" customWidth="1"/>
    <col min="3581" max="3581" width="43.5703125" style="52" customWidth="1"/>
    <col min="3582" max="3582" width="28.7109375" style="52" customWidth="1"/>
    <col min="3583" max="3583" width="13.5703125" style="52" customWidth="1"/>
    <col min="3584" max="3584" width="13" style="52" customWidth="1"/>
    <col min="3585" max="3585" width="13.85546875" style="52" customWidth="1"/>
    <col min="3586" max="3586" width="7.140625" style="52" customWidth="1"/>
    <col min="3587" max="3587" width="9" style="52" customWidth="1"/>
    <col min="3588" max="3588" width="22.5703125" style="52" bestFit="1" customWidth="1"/>
    <col min="3589" max="3589" width="7.140625" style="52" bestFit="1" customWidth="1"/>
    <col min="3590" max="3829" width="9.140625" style="52"/>
    <col min="3830" max="3830" width="5.5703125" style="52" customWidth="1"/>
    <col min="3831" max="3831" width="7.85546875" style="52" customWidth="1"/>
    <col min="3832" max="3832" width="6.42578125" style="52" customWidth="1"/>
    <col min="3833" max="3833" width="5.85546875" style="52" customWidth="1"/>
    <col min="3834" max="3834" width="6.28515625" style="52" customWidth="1"/>
    <col min="3835" max="3835" width="6.5703125" style="52" customWidth="1"/>
    <col min="3836" max="3836" width="7.140625" style="52" customWidth="1"/>
    <col min="3837" max="3837" width="43.5703125" style="52" customWidth="1"/>
    <col min="3838" max="3838" width="28.7109375" style="52" customWidth="1"/>
    <col min="3839" max="3839" width="13.5703125" style="52" customWidth="1"/>
    <col min="3840" max="3840" width="13" style="52" customWidth="1"/>
    <col min="3841" max="3841" width="13.85546875" style="52" customWidth="1"/>
    <col min="3842" max="3842" width="7.140625" style="52" customWidth="1"/>
    <col min="3843" max="3843" width="9" style="52" customWidth="1"/>
    <col min="3844" max="3844" width="22.5703125" style="52" bestFit="1" customWidth="1"/>
    <col min="3845" max="3845" width="7.140625" style="52" bestFit="1" customWidth="1"/>
    <col min="3846" max="4085" width="9.140625" style="52"/>
    <col min="4086" max="4086" width="5.5703125" style="52" customWidth="1"/>
    <col min="4087" max="4087" width="7.85546875" style="52" customWidth="1"/>
    <col min="4088" max="4088" width="6.42578125" style="52" customWidth="1"/>
    <col min="4089" max="4089" width="5.85546875" style="52" customWidth="1"/>
    <col min="4090" max="4090" width="6.28515625" style="52" customWidth="1"/>
    <col min="4091" max="4091" width="6.5703125" style="52" customWidth="1"/>
    <col min="4092" max="4092" width="7.140625" style="52" customWidth="1"/>
    <col min="4093" max="4093" width="43.5703125" style="52" customWidth="1"/>
    <col min="4094" max="4094" width="28.7109375" style="52" customWidth="1"/>
    <col min="4095" max="4095" width="13.5703125" style="52" customWidth="1"/>
    <col min="4096" max="4096" width="13" style="52" customWidth="1"/>
    <col min="4097" max="4097" width="13.85546875" style="52" customWidth="1"/>
    <col min="4098" max="4098" width="7.140625" style="52" customWidth="1"/>
    <col min="4099" max="4099" width="9" style="52" customWidth="1"/>
    <col min="4100" max="4100" width="22.5703125" style="52" bestFit="1" customWidth="1"/>
    <col min="4101" max="4101" width="7.140625" style="52" bestFit="1" customWidth="1"/>
    <col min="4102" max="4341" width="9.140625" style="52"/>
    <col min="4342" max="4342" width="5.5703125" style="52" customWidth="1"/>
    <col min="4343" max="4343" width="7.85546875" style="52" customWidth="1"/>
    <col min="4344" max="4344" width="6.42578125" style="52" customWidth="1"/>
    <col min="4345" max="4345" width="5.85546875" style="52" customWidth="1"/>
    <col min="4346" max="4346" width="6.28515625" style="52" customWidth="1"/>
    <col min="4347" max="4347" width="6.5703125" style="52" customWidth="1"/>
    <col min="4348" max="4348" width="7.140625" style="52" customWidth="1"/>
    <col min="4349" max="4349" width="43.5703125" style="52" customWidth="1"/>
    <col min="4350" max="4350" width="28.7109375" style="52" customWidth="1"/>
    <col min="4351" max="4351" width="13.5703125" style="52" customWidth="1"/>
    <col min="4352" max="4352" width="13" style="52" customWidth="1"/>
    <col min="4353" max="4353" width="13.85546875" style="52" customWidth="1"/>
    <col min="4354" max="4354" width="7.140625" style="52" customWidth="1"/>
    <col min="4355" max="4355" width="9" style="52" customWidth="1"/>
    <col min="4356" max="4356" width="22.5703125" style="52" bestFit="1" customWidth="1"/>
    <col min="4357" max="4357" width="7.140625" style="52" bestFit="1" customWidth="1"/>
    <col min="4358" max="4597" width="9.140625" style="52"/>
    <col min="4598" max="4598" width="5.5703125" style="52" customWidth="1"/>
    <col min="4599" max="4599" width="7.85546875" style="52" customWidth="1"/>
    <col min="4600" max="4600" width="6.42578125" style="52" customWidth="1"/>
    <col min="4601" max="4601" width="5.85546875" style="52" customWidth="1"/>
    <col min="4602" max="4602" width="6.28515625" style="52" customWidth="1"/>
    <col min="4603" max="4603" width="6.5703125" style="52" customWidth="1"/>
    <col min="4604" max="4604" width="7.140625" style="52" customWidth="1"/>
    <col min="4605" max="4605" width="43.5703125" style="52" customWidth="1"/>
    <col min="4606" max="4606" width="28.7109375" style="52" customWidth="1"/>
    <col min="4607" max="4607" width="13.5703125" style="52" customWidth="1"/>
    <col min="4608" max="4608" width="13" style="52" customWidth="1"/>
    <col min="4609" max="4609" width="13.85546875" style="52" customWidth="1"/>
    <col min="4610" max="4610" width="7.140625" style="52" customWidth="1"/>
    <col min="4611" max="4611" width="9" style="52" customWidth="1"/>
    <col min="4612" max="4612" width="22.5703125" style="52" bestFit="1" customWidth="1"/>
    <col min="4613" max="4613" width="7.140625" style="52" bestFit="1" customWidth="1"/>
    <col min="4614" max="4853" width="9.140625" style="52"/>
    <col min="4854" max="4854" width="5.5703125" style="52" customWidth="1"/>
    <col min="4855" max="4855" width="7.85546875" style="52" customWidth="1"/>
    <col min="4856" max="4856" width="6.42578125" style="52" customWidth="1"/>
    <col min="4857" max="4857" width="5.85546875" style="52" customWidth="1"/>
    <col min="4858" max="4858" width="6.28515625" style="52" customWidth="1"/>
    <col min="4859" max="4859" width="6.5703125" style="52" customWidth="1"/>
    <col min="4860" max="4860" width="7.140625" style="52" customWidth="1"/>
    <col min="4861" max="4861" width="43.5703125" style="52" customWidth="1"/>
    <col min="4862" max="4862" width="28.7109375" style="52" customWidth="1"/>
    <col min="4863" max="4863" width="13.5703125" style="52" customWidth="1"/>
    <col min="4864" max="4864" width="13" style="52" customWidth="1"/>
    <col min="4865" max="4865" width="13.85546875" style="52" customWidth="1"/>
    <col min="4866" max="4866" width="7.140625" style="52" customWidth="1"/>
    <col min="4867" max="4867" width="9" style="52" customWidth="1"/>
    <col min="4868" max="4868" width="22.5703125" style="52" bestFit="1" customWidth="1"/>
    <col min="4869" max="4869" width="7.140625" style="52" bestFit="1" customWidth="1"/>
    <col min="4870" max="5109" width="9.140625" style="52"/>
    <col min="5110" max="5110" width="5.5703125" style="52" customWidth="1"/>
    <col min="5111" max="5111" width="7.85546875" style="52" customWidth="1"/>
    <col min="5112" max="5112" width="6.42578125" style="52" customWidth="1"/>
    <col min="5113" max="5113" width="5.85546875" style="52" customWidth="1"/>
    <col min="5114" max="5114" width="6.28515625" style="52" customWidth="1"/>
    <col min="5115" max="5115" width="6.5703125" style="52" customWidth="1"/>
    <col min="5116" max="5116" width="7.140625" style="52" customWidth="1"/>
    <col min="5117" max="5117" width="43.5703125" style="52" customWidth="1"/>
    <col min="5118" max="5118" width="28.7109375" style="52" customWidth="1"/>
    <col min="5119" max="5119" width="13.5703125" style="52" customWidth="1"/>
    <col min="5120" max="5120" width="13" style="52" customWidth="1"/>
    <col min="5121" max="5121" width="13.85546875" style="52" customWidth="1"/>
    <col min="5122" max="5122" width="7.140625" style="52" customWidth="1"/>
    <col min="5123" max="5123" width="9" style="52" customWidth="1"/>
    <col min="5124" max="5124" width="22.5703125" style="52" bestFit="1" customWidth="1"/>
    <col min="5125" max="5125" width="7.140625" style="52" bestFit="1" customWidth="1"/>
    <col min="5126" max="5365" width="9.140625" style="52"/>
    <col min="5366" max="5366" width="5.5703125" style="52" customWidth="1"/>
    <col min="5367" max="5367" width="7.85546875" style="52" customWidth="1"/>
    <col min="5368" max="5368" width="6.42578125" style="52" customWidth="1"/>
    <col min="5369" max="5369" width="5.85546875" style="52" customWidth="1"/>
    <col min="5370" max="5370" width="6.28515625" style="52" customWidth="1"/>
    <col min="5371" max="5371" width="6.5703125" style="52" customWidth="1"/>
    <col min="5372" max="5372" width="7.140625" style="52" customWidth="1"/>
    <col min="5373" max="5373" width="43.5703125" style="52" customWidth="1"/>
    <col min="5374" max="5374" width="28.7109375" style="52" customWidth="1"/>
    <col min="5375" max="5375" width="13.5703125" style="52" customWidth="1"/>
    <col min="5376" max="5376" width="13" style="52" customWidth="1"/>
    <col min="5377" max="5377" width="13.85546875" style="52" customWidth="1"/>
    <col min="5378" max="5378" width="7.140625" style="52" customWidth="1"/>
    <col min="5379" max="5379" width="9" style="52" customWidth="1"/>
    <col min="5380" max="5380" width="22.5703125" style="52" bestFit="1" customWidth="1"/>
    <col min="5381" max="5381" width="7.140625" style="52" bestFit="1" customWidth="1"/>
    <col min="5382" max="5621" width="9.140625" style="52"/>
    <col min="5622" max="5622" width="5.5703125" style="52" customWidth="1"/>
    <col min="5623" max="5623" width="7.85546875" style="52" customWidth="1"/>
    <col min="5624" max="5624" width="6.42578125" style="52" customWidth="1"/>
    <col min="5625" max="5625" width="5.85546875" style="52" customWidth="1"/>
    <col min="5626" max="5626" width="6.28515625" style="52" customWidth="1"/>
    <col min="5627" max="5627" width="6.5703125" style="52" customWidth="1"/>
    <col min="5628" max="5628" width="7.140625" style="52" customWidth="1"/>
    <col min="5629" max="5629" width="43.5703125" style="52" customWidth="1"/>
    <col min="5630" max="5630" width="28.7109375" style="52" customWidth="1"/>
    <col min="5631" max="5631" width="13.5703125" style="52" customWidth="1"/>
    <col min="5632" max="5632" width="13" style="52" customWidth="1"/>
    <col min="5633" max="5633" width="13.85546875" style="52" customWidth="1"/>
    <col min="5634" max="5634" width="7.140625" style="52" customWidth="1"/>
    <col min="5635" max="5635" width="9" style="52" customWidth="1"/>
    <col min="5636" max="5636" width="22.5703125" style="52" bestFit="1" customWidth="1"/>
    <col min="5637" max="5637" width="7.140625" style="52" bestFit="1" customWidth="1"/>
    <col min="5638" max="5877" width="9.140625" style="52"/>
    <col min="5878" max="5878" width="5.5703125" style="52" customWidth="1"/>
    <col min="5879" max="5879" width="7.85546875" style="52" customWidth="1"/>
    <col min="5880" max="5880" width="6.42578125" style="52" customWidth="1"/>
    <col min="5881" max="5881" width="5.85546875" style="52" customWidth="1"/>
    <col min="5882" max="5882" width="6.28515625" style="52" customWidth="1"/>
    <col min="5883" max="5883" width="6.5703125" style="52" customWidth="1"/>
    <col min="5884" max="5884" width="7.140625" style="52" customWidth="1"/>
    <col min="5885" max="5885" width="43.5703125" style="52" customWidth="1"/>
    <col min="5886" max="5886" width="28.7109375" style="52" customWidth="1"/>
    <col min="5887" max="5887" width="13.5703125" style="52" customWidth="1"/>
    <col min="5888" max="5888" width="13" style="52" customWidth="1"/>
    <col min="5889" max="5889" width="13.85546875" style="52" customWidth="1"/>
    <col min="5890" max="5890" width="7.140625" style="52" customWidth="1"/>
    <col min="5891" max="5891" width="9" style="52" customWidth="1"/>
    <col min="5892" max="5892" width="22.5703125" style="52" bestFit="1" customWidth="1"/>
    <col min="5893" max="5893" width="7.140625" style="52" bestFit="1" customWidth="1"/>
    <col min="5894" max="6133" width="9.140625" style="52"/>
    <col min="6134" max="6134" width="5.5703125" style="52" customWidth="1"/>
    <col min="6135" max="6135" width="7.85546875" style="52" customWidth="1"/>
    <col min="6136" max="6136" width="6.42578125" style="52" customWidth="1"/>
    <col min="6137" max="6137" width="5.85546875" style="52" customWidth="1"/>
    <col min="6138" max="6138" width="6.28515625" style="52" customWidth="1"/>
    <col min="6139" max="6139" width="6.5703125" style="52" customWidth="1"/>
    <col min="6140" max="6140" width="7.140625" style="52" customWidth="1"/>
    <col min="6141" max="6141" width="43.5703125" style="52" customWidth="1"/>
    <col min="6142" max="6142" width="28.7109375" style="52" customWidth="1"/>
    <col min="6143" max="6143" width="13.5703125" style="52" customWidth="1"/>
    <col min="6144" max="6144" width="13" style="52" customWidth="1"/>
    <col min="6145" max="6145" width="13.85546875" style="52" customWidth="1"/>
    <col min="6146" max="6146" width="7.140625" style="52" customWidth="1"/>
    <col min="6147" max="6147" width="9" style="52" customWidth="1"/>
    <col min="6148" max="6148" width="22.5703125" style="52" bestFit="1" customWidth="1"/>
    <col min="6149" max="6149" width="7.140625" style="52" bestFit="1" customWidth="1"/>
    <col min="6150" max="6389" width="9.140625" style="52"/>
    <col min="6390" max="6390" width="5.5703125" style="52" customWidth="1"/>
    <col min="6391" max="6391" width="7.85546875" style="52" customWidth="1"/>
    <col min="6392" max="6392" width="6.42578125" style="52" customWidth="1"/>
    <col min="6393" max="6393" width="5.85546875" style="52" customWidth="1"/>
    <col min="6394" max="6394" width="6.28515625" style="52" customWidth="1"/>
    <col min="6395" max="6395" width="6.5703125" style="52" customWidth="1"/>
    <col min="6396" max="6396" width="7.140625" style="52" customWidth="1"/>
    <col min="6397" max="6397" width="43.5703125" style="52" customWidth="1"/>
    <col min="6398" max="6398" width="28.7109375" style="52" customWidth="1"/>
    <col min="6399" max="6399" width="13.5703125" style="52" customWidth="1"/>
    <col min="6400" max="6400" width="13" style="52" customWidth="1"/>
    <col min="6401" max="6401" width="13.85546875" style="52" customWidth="1"/>
    <col min="6402" max="6402" width="7.140625" style="52" customWidth="1"/>
    <col min="6403" max="6403" width="9" style="52" customWidth="1"/>
    <col min="6404" max="6404" width="22.5703125" style="52" bestFit="1" customWidth="1"/>
    <col min="6405" max="6405" width="7.140625" style="52" bestFit="1" customWidth="1"/>
    <col min="6406" max="6645" width="9.140625" style="52"/>
    <col min="6646" max="6646" width="5.5703125" style="52" customWidth="1"/>
    <col min="6647" max="6647" width="7.85546875" style="52" customWidth="1"/>
    <col min="6648" max="6648" width="6.42578125" style="52" customWidth="1"/>
    <col min="6649" max="6649" width="5.85546875" style="52" customWidth="1"/>
    <col min="6650" max="6650" width="6.28515625" style="52" customWidth="1"/>
    <col min="6651" max="6651" width="6.5703125" style="52" customWidth="1"/>
    <col min="6652" max="6652" width="7.140625" style="52" customWidth="1"/>
    <col min="6653" max="6653" width="43.5703125" style="52" customWidth="1"/>
    <col min="6654" max="6654" width="28.7109375" style="52" customWidth="1"/>
    <col min="6655" max="6655" width="13.5703125" style="52" customWidth="1"/>
    <col min="6656" max="6656" width="13" style="52" customWidth="1"/>
    <col min="6657" max="6657" width="13.85546875" style="52" customWidth="1"/>
    <col min="6658" max="6658" width="7.140625" style="52" customWidth="1"/>
    <col min="6659" max="6659" width="9" style="52" customWidth="1"/>
    <col min="6660" max="6660" width="22.5703125" style="52" bestFit="1" customWidth="1"/>
    <col min="6661" max="6661" width="7.140625" style="52" bestFit="1" customWidth="1"/>
    <col min="6662" max="6901" width="9.140625" style="52"/>
    <col min="6902" max="6902" width="5.5703125" style="52" customWidth="1"/>
    <col min="6903" max="6903" width="7.85546875" style="52" customWidth="1"/>
    <col min="6904" max="6904" width="6.42578125" style="52" customWidth="1"/>
    <col min="6905" max="6905" width="5.85546875" style="52" customWidth="1"/>
    <col min="6906" max="6906" width="6.28515625" style="52" customWidth="1"/>
    <col min="6907" max="6907" width="6.5703125" style="52" customWidth="1"/>
    <col min="6908" max="6908" width="7.140625" style="52" customWidth="1"/>
    <col min="6909" max="6909" width="43.5703125" style="52" customWidth="1"/>
    <col min="6910" max="6910" width="28.7109375" style="52" customWidth="1"/>
    <col min="6911" max="6911" width="13.5703125" style="52" customWidth="1"/>
    <col min="6912" max="6912" width="13" style="52" customWidth="1"/>
    <col min="6913" max="6913" width="13.85546875" style="52" customWidth="1"/>
    <col min="6914" max="6914" width="7.140625" style="52" customWidth="1"/>
    <col min="6915" max="6915" width="9" style="52" customWidth="1"/>
    <col min="6916" max="6916" width="22.5703125" style="52" bestFit="1" customWidth="1"/>
    <col min="6917" max="6917" width="7.140625" style="52" bestFit="1" customWidth="1"/>
    <col min="6918" max="7157" width="9.140625" style="52"/>
    <col min="7158" max="7158" width="5.5703125" style="52" customWidth="1"/>
    <col min="7159" max="7159" width="7.85546875" style="52" customWidth="1"/>
    <col min="7160" max="7160" width="6.42578125" style="52" customWidth="1"/>
    <col min="7161" max="7161" width="5.85546875" style="52" customWidth="1"/>
    <col min="7162" max="7162" width="6.28515625" style="52" customWidth="1"/>
    <col min="7163" max="7163" width="6.5703125" style="52" customWidth="1"/>
    <col min="7164" max="7164" width="7.140625" style="52" customWidth="1"/>
    <col min="7165" max="7165" width="43.5703125" style="52" customWidth="1"/>
    <col min="7166" max="7166" width="28.7109375" style="52" customWidth="1"/>
    <col min="7167" max="7167" width="13.5703125" style="52" customWidth="1"/>
    <col min="7168" max="7168" width="13" style="52" customWidth="1"/>
    <col min="7169" max="7169" width="13.85546875" style="52" customWidth="1"/>
    <col min="7170" max="7170" width="7.140625" style="52" customWidth="1"/>
    <col min="7171" max="7171" width="9" style="52" customWidth="1"/>
    <col min="7172" max="7172" width="22.5703125" style="52" bestFit="1" customWidth="1"/>
    <col min="7173" max="7173" width="7.140625" style="52" bestFit="1" customWidth="1"/>
    <col min="7174" max="7413" width="9.140625" style="52"/>
    <col min="7414" max="7414" width="5.5703125" style="52" customWidth="1"/>
    <col min="7415" max="7415" width="7.85546875" style="52" customWidth="1"/>
    <col min="7416" max="7416" width="6.42578125" style="52" customWidth="1"/>
    <col min="7417" max="7417" width="5.85546875" style="52" customWidth="1"/>
    <col min="7418" max="7418" width="6.28515625" style="52" customWidth="1"/>
    <col min="7419" max="7419" width="6.5703125" style="52" customWidth="1"/>
    <col min="7420" max="7420" width="7.140625" style="52" customWidth="1"/>
    <col min="7421" max="7421" width="43.5703125" style="52" customWidth="1"/>
    <col min="7422" max="7422" width="28.7109375" style="52" customWidth="1"/>
    <col min="7423" max="7423" width="13.5703125" style="52" customWidth="1"/>
    <col min="7424" max="7424" width="13" style="52" customWidth="1"/>
    <col min="7425" max="7425" width="13.85546875" style="52" customWidth="1"/>
    <col min="7426" max="7426" width="7.140625" style="52" customWidth="1"/>
    <col min="7427" max="7427" width="9" style="52" customWidth="1"/>
    <col min="7428" max="7428" width="22.5703125" style="52" bestFit="1" customWidth="1"/>
    <col min="7429" max="7429" width="7.140625" style="52" bestFit="1" customWidth="1"/>
    <col min="7430" max="7669" width="9.140625" style="52"/>
    <col min="7670" max="7670" width="5.5703125" style="52" customWidth="1"/>
    <col min="7671" max="7671" width="7.85546875" style="52" customWidth="1"/>
    <col min="7672" max="7672" width="6.42578125" style="52" customWidth="1"/>
    <col min="7673" max="7673" width="5.85546875" style="52" customWidth="1"/>
    <col min="7674" max="7674" width="6.28515625" style="52" customWidth="1"/>
    <col min="7675" max="7675" width="6.5703125" style="52" customWidth="1"/>
    <col min="7676" max="7676" width="7.140625" style="52" customWidth="1"/>
    <col min="7677" max="7677" width="43.5703125" style="52" customWidth="1"/>
    <col min="7678" max="7678" width="28.7109375" style="52" customWidth="1"/>
    <col min="7679" max="7679" width="13.5703125" style="52" customWidth="1"/>
    <col min="7680" max="7680" width="13" style="52" customWidth="1"/>
    <col min="7681" max="7681" width="13.85546875" style="52" customWidth="1"/>
    <col min="7682" max="7682" width="7.140625" style="52" customWidth="1"/>
    <col min="7683" max="7683" width="9" style="52" customWidth="1"/>
    <col min="7684" max="7684" width="22.5703125" style="52" bestFit="1" customWidth="1"/>
    <col min="7685" max="7685" width="7.140625" style="52" bestFit="1" customWidth="1"/>
    <col min="7686" max="7925" width="9.140625" style="52"/>
    <col min="7926" max="7926" width="5.5703125" style="52" customWidth="1"/>
    <col min="7927" max="7927" width="7.85546875" style="52" customWidth="1"/>
    <col min="7928" max="7928" width="6.42578125" style="52" customWidth="1"/>
    <col min="7929" max="7929" width="5.85546875" style="52" customWidth="1"/>
    <col min="7930" max="7930" width="6.28515625" style="52" customWidth="1"/>
    <col min="7931" max="7931" width="6.5703125" style="52" customWidth="1"/>
    <col min="7932" max="7932" width="7.140625" style="52" customWidth="1"/>
    <col min="7933" max="7933" width="43.5703125" style="52" customWidth="1"/>
    <col min="7934" max="7934" width="28.7109375" style="52" customWidth="1"/>
    <col min="7935" max="7935" width="13.5703125" style="52" customWidth="1"/>
    <col min="7936" max="7936" width="13" style="52" customWidth="1"/>
    <col min="7937" max="7937" width="13.85546875" style="52" customWidth="1"/>
    <col min="7938" max="7938" width="7.140625" style="52" customWidth="1"/>
    <col min="7939" max="7939" width="9" style="52" customWidth="1"/>
    <col min="7940" max="7940" width="22.5703125" style="52" bestFit="1" customWidth="1"/>
    <col min="7941" max="7941" width="7.140625" style="52" bestFit="1" customWidth="1"/>
    <col min="7942" max="8181" width="9.140625" style="52"/>
    <col min="8182" max="8182" width="5.5703125" style="52" customWidth="1"/>
    <col min="8183" max="8183" width="7.85546875" style="52" customWidth="1"/>
    <col min="8184" max="8184" width="6.42578125" style="52" customWidth="1"/>
    <col min="8185" max="8185" width="5.85546875" style="52" customWidth="1"/>
    <col min="8186" max="8186" width="6.28515625" style="52" customWidth="1"/>
    <col min="8187" max="8187" width="6.5703125" style="52" customWidth="1"/>
    <col min="8188" max="8188" width="7.140625" style="52" customWidth="1"/>
    <col min="8189" max="8189" width="43.5703125" style="52" customWidth="1"/>
    <col min="8190" max="8190" width="28.7109375" style="52" customWidth="1"/>
    <col min="8191" max="8191" width="13.5703125" style="52" customWidth="1"/>
    <col min="8192" max="8192" width="13" style="52" customWidth="1"/>
    <col min="8193" max="8193" width="13.85546875" style="52" customWidth="1"/>
    <col min="8194" max="8194" width="7.140625" style="52" customWidth="1"/>
    <col min="8195" max="8195" width="9" style="52" customWidth="1"/>
    <col min="8196" max="8196" width="22.5703125" style="52" bestFit="1" customWidth="1"/>
    <col min="8197" max="8197" width="7.140625" style="52" bestFit="1" customWidth="1"/>
    <col min="8198" max="8437" width="9.140625" style="52"/>
    <col min="8438" max="8438" width="5.5703125" style="52" customWidth="1"/>
    <col min="8439" max="8439" width="7.85546875" style="52" customWidth="1"/>
    <col min="8440" max="8440" width="6.42578125" style="52" customWidth="1"/>
    <col min="8441" max="8441" width="5.85546875" style="52" customWidth="1"/>
    <col min="8442" max="8442" width="6.28515625" style="52" customWidth="1"/>
    <col min="8443" max="8443" width="6.5703125" style="52" customWidth="1"/>
    <col min="8444" max="8444" width="7.140625" style="52" customWidth="1"/>
    <col min="8445" max="8445" width="43.5703125" style="52" customWidth="1"/>
    <col min="8446" max="8446" width="28.7109375" style="52" customWidth="1"/>
    <col min="8447" max="8447" width="13.5703125" style="52" customWidth="1"/>
    <col min="8448" max="8448" width="13" style="52" customWidth="1"/>
    <col min="8449" max="8449" width="13.85546875" style="52" customWidth="1"/>
    <col min="8450" max="8450" width="7.140625" style="52" customWidth="1"/>
    <col min="8451" max="8451" width="9" style="52" customWidth="1"/>
    <col min="8452" max="8452" width="22.5703125" style="52" bestFit="1" customWidth="1"/>
    <col min="8453" max="8453" width="7.140625" style="52" bestFit="1" customWidth="1"/>
    <col min="8454" max="8693" width="9.140625" style="52"/>
    <col min="8694" max="8694" width="5.5703125" style="52" customWidth="1"/>
    <col min="8695" max="8695" width="7.85546875" style="52" customWidth="1"/>
    <col min="8696" max="8696" width="6.42578125" style="52" customWidth="1"/>
    <col min="8697" max="8697" width="5.85546875" style="52" customWidth="1"/>
    <col min="8698" max="8698" width="6.28515625" style="52" customWidth="1"/>
    <col min="8699" max="8699" width="6.5703125" style="52" customWidth="1"/>
    <col min="8700" max="8700" width="7.140625" style="52" customWidth="1"/>
    <col min="8701" max="8701" width="43.5703125" style="52" customWidth="1"/>
    <col min="8702" max="8702" width="28.7109375" style="52" customWidth="1"/>
    <col min="8703" max="8703" width="13.5703125" style="52" customWidth="1"/>
    <col min="8704" max="8704" width="13" style="52" customWidth="1"/>
    <col min="8705" max="8705" width="13.85546875" style="52" customWidth="1"/>
    <col min="8706" max="8706" width="7.140625" style="52" customWidth="1"/>
    <col min="8707" max="8707" width="9" style="52" customWidth="1"/>
    <col min="8708" max="8708" width="22.5703125" style="52" bestFit="1" customWidth="1"/>
    <col min="8709" max="8709" width="7.140625" style="52" bestFit="1" customWidth="1"/>
    <col min="8710" max="8949" width="9.140625" style="52"/>
    <col min="8950" max="8950" width="5.5703125" style="52" customWidth="1"/>
    <col min="8951" max="8951" width="7.85546875" style="52" customWidth="1"/>
    <col min="8952" max="8952" width="6.42578125" style="52" customWidth="1"/>
    <col min="8953" max="8953" width="5.85546875" style="52" customWidth="1"/>
    <col min="8954" max="8954" width="6.28515625" style="52" customWidth="1"/>
    <col min="8955" max="8955" width="6.5703125" style="52" customWidth="1"/>
    <col min="8956" max="8956" width="7.140625" style="52" customWidth="1"/>
    <col min="8957" max="8957" width="43.5703125" style="52" customWidth="1"/>
    <col min="8958" max="8958" width="28.7109375" style="52" customWidth="1"/>
    <col min="8959" max="8959" width="13.5703125" style="52" customWidth="1"/>
    <col min="8960" max="8960" width="13" style="52" customWidth="1"/>
    <col min="8961" max="8961" width="13.85546875" style="52" customWidth="1"/>
    <col min="8962" max="8962" width="7.140625" style="52" customWidth="1"/>
    <col min="8963" max="8963" width="9" style="52" customWidth="1"/>
    <col min="8964" max="8964" width="22.5703125" style="52" bestFit="1" customWidth="1"/>
    <col min="8965" max="8965" width="7.140625" style="52" bestFit="1" customWidth="1"/>
    <col min="8966" max="9205" width="9.140625" style="52"/>
    <col min="9206" max="9206" width="5.5703125" style="52" customWidth="1"/>
    <col min="9207" max="9207" width="7.85546875" style="52" customWidth="1"/>
    <col min="9208" max="9208" width="6.42578125" style="52" customWidth="1"/>
    <col min="9209" max="9209" width="5.85546875" style="52" customWidth="1"/>
    <col min="9210" max="9210" width="6.28515625" style="52" customWidth="1"/>
    <col min="9211" max="9211" width="6.5703125" style="52" customWidth="1"/>
    <col min="9212" max="9212" width="7.140625" style="52" customWidth="1"/>
    <col min="9213" max="9213" width="43.5703125" style="52" customWidth="1"/>
    <col min="9214" max="9214" width="28.7109375" style="52" customWidth="1"/>
    <col min="9215" max="9215" width="13.5703125" style="52" customWidth="1"/>
    <col min="9216" max="9216" width="13" style="52" customWidth="1"/>
    <col min="9217" max="9217" width="13.85546875" style="52" customWidth="1"/>
    <col min="9218" max="9218" width="7.140625" style="52" customWidth="1"/>
    <col min="9219" max="9219" width="9" style="52" customWidth="1"/>
    <col min="9220" max="9220" width="22.5703125" style="52" bestFit="1" customWidth="1"/>
    <col min="9221" max="9221" width="7.140625" style="52" bestFit="1" customWidth="1"/>
    <col min="9222" max="9461" width="9.140625" style="52"/>
    <col min="9462" max="9462" width="5.5703125" style="52" customWidth="1"/>
    <col min="9463" max="9463" width="7.85546875" style="52" customWidth="1"/>
    <col min="9464" max="9464" width="6.42578125" style="52" customWidth="1"/>
    <col min="9465" max="9465" width="5.85546875" style="52" customWidth="1"/>
    <col min="9466" max="9466" width="6.28515625" style="52" customWidth="1"/>
    <col min="9467" max="9467" width="6.5703125" style="52" customWidth="1"/>
    <col min="9468" max="9468" width="7.140625" style="52" customWidth="1"/>
    <col min="9469" max="9469" width="43.5703125" style="52" customWidth="1"/>
    <col min="9470" max="9470" width="28.7109375" style="52" customWidth="1"/>
    <col min="9471" max="9471" width="13.5703125" style="52" customWidth="1"/>
    <col min="9472" max="9472" width="13" style="52" customWidth="1"/>
    <col min="9473" max="9473" width="13.85546875" style="52" customWidth="1"/>
    <col min="9474" max="9474" width="7.140625" style="52" customWidth="1"/>
    <col min="9475" max="9475" width="9" style="52" customWidth="1"/>
    <col min="9476" max="9476" width="22.5703125" style="52" bestFit="1" customWidth="1"/>
    <col min="9477" max="9477" width="7.140625" style="52" bestFit="1" customWidth="1"/>
    <col min="9478" max="9717" width="9.140625" style="52"/>
    <col min="9718" max="9718" width="5.5703125" style="52" customWidth="1"/>
    <col min="9719" max="9719" width="7.85546875" style="52" customWidth="1"/>
    <col min="9720" max="9720" width="6.42578125" style="52" customWidth="1"/>
    <col min="9721" max="9721" width="5.85546875" style="52" customWidth="1"/>
    <col min="9722" max="9722" width="6.28515625" style="52" customWidth="1"/>
    <col min="9723" max="9723" width="6.5703125" style="52" customWidth="1"/>
    <col min="9724" max="9724" width="7.140625" style="52" customWidth="1"/>
    <col min="9725" max="9725" width="43.5703125" style="52" customWidth="1"/>
    <col min="9726" max="9726" width="28.7109375" style="52" customWidth="1"/>
    <col min="9727" max="9727" width="13.5703125" style="52" customWidth="1"/>
    <col min="9728" max="9728" width="13" style="52" customWidth="1"/>
    <col min="9729" max="9729" width="13.85546875" style="52" customWidth="1"/>
    <col min="9730" max="9730" width="7.140625" style="52" customWidth="1"/>
    <col min="9731" max="9731" width="9" style="52" customWidth="1"/>
    <col min="9732" max="9732" width="22.5703125" style="52" bestFit="1" customWidth="1"/>
    <col min="9733" max="9733" width="7.140625" style="52" bestFit="1" customWidth="1"/>
    <col min="9734" max="9973" width="9.140625" style="52"/>
    <col min="9974" max="9974" width="5.5703125" style="52" customWidth="1"/>
    <col min="9975" max="9975" width="7.85546875" style="52" customWidth="1"/>
    <col min="9976" max="9976" width="6.42578125" style="52" customWidth="1"/>
    <col min="9977" max="9977" width="5.85546875" style="52" customWidth="1"/>
    <col min="9978" max="9978" width="6.28515625" style="52" customWidth="1"/>
    <col min="9979" max="9979" width="6.5703125" style="52" customWidth="1"/>
    <col min="9980" max="9980" width="7.140625" style="52" customWidth="1"/>
    <col min="9981" max="9981" width="43.5703125" style="52" customWidth="1"/>
    <col min="9982" max="9982" width="28.7109375" style="52" customWidth="1"/>
    <col min="9983" max="9983" width="13.5703125" style="52" customWidth="1"/>
    <col min="9984" max="9984" width="13" style="52" customWidth="1"/>
    <col min="9985" max="9985" width="13.85546875" style="52" customWidth="1"/>
    <col min="9986" max="9986" width="7.140625" style="52" customWidth="1"/>
    <col min="9987" max="9987" width="9" style="52" customWidth="1"/>
    <col min="9988" max="9988" width="22.5703125" style="52" bestFit="1" customWidth="1"/>
    <col min="9989" max="9989" width="7.140625" style="52" bestFit="1" customWidth="1"/>
    <col min="9990" max="10229" width="9.140625" style="52"/>
    <col min="10230" max="10230" width="5.5703125" style="52" customWidth="1"/>
    <col min="10231" max="10231" width="7.85546875" style="52" customWidth="1"/>
    <col min="10232" max="10232" width="6.42578125" style="52" customWidth="1"/>
    <col min="10233" max="10233" width="5.85546875" style="52" customWidth="1"/>
    <col min="10234" max="10234" width="6.28515625" style="52" customWidth="1"/>
    <col min="10235" max="10235" width="6.5703125" style="52" customWidth="1"/>
    <col min="10236" max="10236" width="7.140625" style="52" customWidth="1"/>
    <col min="10237" max="10237" width="43.5703125" style="52" customWidth="1"/>
    <col min="10238" max="10238" width="28.7109375" style="52" customWidth="1"/>
    <col min="10239" max="10239" width="13.5703125" style="52" customWidth="1"/>
    <col min="10240" max="10240" width="13" style="52" customWidth="1"/>
    <col min="10241" max="10241" width="13.85546875" style="52" customWidth="1"/>
    <col min="10242" max="10242" width="7.140625" style="52" customWidth="1"/>
    <col min="10243" max="10243" width="9" style="52" customWidth="1"/>
    <col min="10244" max="10244" width="22.5703125" style="52" bestFit="1" customWidth="1"/>
    <col min="10245" max="10245" width="7.140625" style="52" bestFit="1" customWidth="1"/>
    <col min="10246" max="10485" width="9.140625" style="52"/>
    <col min="10486" max="10486" width="5.5703125" style="52" customWidth="1"/>
    <col min="10487" max="10487" width="7.85546875" style="52" customWidth="1"/>
    <col min="10488" max="10488" width="6.42578125" style="52" customWidth="1"/>
    <col min="10489" max="10489" width="5.85546875" style="52" customWidth="1"/>
    <col min="10490" max="10490" width="6.28515625" style="52" customWidth="1"/>
    <col min="10491" max="10491" width="6.5703125" style="52" customWidth="1"/>
    <col min="10492" max="10492" width="7.140625" style="52" customWidth="1"/>
    <col min="10493" max="10493" width="43.5703125" style="52" customWidth="1"/>
    <col min="10494" max="10494" width="28.7109375" style="52" customWidth="1"/>
    <col min="10495" max="10495" width="13.5703125" style="52" customWidth="1"/>
    <col min="10496" max="10496" width="13" style="52" customWidth="1"/>
    <col min="10497" max="10497" width="13.85546875" style="52" customWidth="1"/>
    <col min="10498" max="10498" width="7.140625" style="52" customWidth="1"/>
    <col min="10499" max="10499" width="9" style="52" customWidth="1"/>
    <col min="10500" max="10500" width="22.5703125" style="52" bestFit="1" customWidth="1"/>
    <col min="10501" max="10501" width="7.140625" style="52" bestFit="1" customWidth="1"/>
    <col min="10502" max="10741" width="9.140625" style="52"/>
    <col min="10742" max="10742" width="5.5703125" style="52" customWidth="1"/>
    <col min="10743" max="10743" width="7.85546875" style="52" customWidth="1"/>
    <col min="10744" max="10744" width="6.42578125" style="52" customWidth="1"/>
    <col min="10745" max="10745" width="5.85546875" style="52" customWidth="1"/>
    <col min="10746" max="10746" width="6.28515625" style="52" customWidth="1"/>
    <col min="10747" max="10747" width="6.5703125" style="52" customWidth="1"/>
    <col min="10748" max="10748" width="7.140625" style="52" customWidth="1"/>
    <col min="10749" max="10749" width="43.5703125" style="52" customWidth="1"/>
    <col min="10750" max="10750" width="28.7109375" style="52" customWidth="1"/>
    <col min="10751" max="10751" width="13.5703125" style="52" customWidth="1"/>
    <col min="10752" max="10752" width="13" style="52" customWidth="1"/>
    <col min="10753" max="10753" width="13.85546875" style="52" customWidth="1"/>
    <col min="10754" max="10754" width="7.140625" style="52" customWidth="1"/>
    <col min="10755" max="10755" width="9" style="52" customWidth="1"/>
    <col min="10756" max="10756" width="22.5703125" style="52" bestFit="1" customWidth="1"/>
    <col min="10757" max="10757" width="7.140625" style="52" bestFit="1" customWidth="1"/>
    <col min="10758" max="10997" width="9.140625" style="52"/>
    <col min="10998" max="10998" width="5.5703125" style="52" customWidth="1"/>
    <col min="10999" max="10999" width="7.85546875" style="52" customWidth="1"/>
    <col min="11000" max="11000" width="6.42578125" style="52" customWidth="1"/>
    <col min="11001" max="11001" width="5.85546875" style="52" customWidth="1"/>
    <col min="11002" max="11002" width="6.28515625" style="52" customWidth="1"/>
    <col min="11003" max="11003" width="6.5703125" style="52" customWidth="1"/>
    <col min="11004" max="11004" width="7.140625" style="52" customWidth="1"/>
    <col min="11005" max="11005" width="43.5703125" style="52" customWidth="1"/>
    <col min="11006" max="11006" width="28.7109375" style="52" customWidth="1"/>
    <col min="11007" max="11007" width="13.5703125" style="52" customWidth="1"/>
    <col min="11008" max="11008" width="13" style="52" customWidth="1"/>
    <col min="11009" max="11009" width="13.85546875" style="52" customWidth="1"/>
    <col min="11010" max="11010" width="7.140625" style="52" customWidth="1"/>
    <col min="11011" max="11011" width="9" style="52" customWidth="1"/>
    <col min="11012" max="11012" width="22.5703125" style="52" bestFit="1" customWidth="1"/>
    <col min="11013" max="11013" width="7.140625" style="52" bestFit="1" customWidth="1"/>
    <col min="11014" max="11253" width="9.140625" style="52"/>
    <col min="11254" max="11254" width="5.5703125" style="52" customWidth="1"/>
    <col min="11255" max="11255" width="7.85546875" style="52" customWidth="1"/>
    <col min="11256" max="11256" width="6.42578125" style="52" customWidth="1"/>
    <col min="11257" max="11257" width="5.85546875" style="52" customWidth="1"/>
    <col min="11258" max="11258" width="6.28515625" style="52" customWidth="1"/>
    <col min="11259" max="11259" width="6.5703125" style="52" customWidth="1"/>
    <col min="11260" max="11260" width="7.140625" style="52" customWidth="1"/>
    <col min="11261" max="11261" width="43.5703125" style="52" customWidth="1"/>
    <col min="11262" max="11262" width="28.7109375" style="52" customWidth="1"/>
    <col min="11263" max="11263" width="13.5703125" style="52" customWidth="1"/>
    <col min="11264" max="11264" width="13" style="52" customWidth="1"/>
    <col min="11265" max="11265" width="13.85546875" style="52" customWidth="1"/>
    <col min="11266" max="11266" width="7.140625" style="52" customWidth="1"/>
    <col min="11267" max="11267" width="9" style="52" customWidth="1"/>
    <col min="11268" max="11268" width="22.5703125" style="52" bestFit="1" customWidth="1"/>
    <col min="11269" max="11269" width="7.140625" style="52" bestFit="1" customWidth="1"/>
    <col min="11270" max="11509" width="9.140625" style="52"/>
    <col min="11510" max="11510" width="5.5703125" style="52" customWidth="1"/>
    <col min="11511" max="11511" width="7.85546875" style="52" customWidth="1"/>
    <col min="11512" max="11512" width="6.42578125" style="52" customWidth="1"/>
    <col min="11513" max="11513" width="5.85546875" style="52" customWidth="1"/>
    <col min="11514" max="11514" width="6.28515625" style="52" customWidth="1"/>
    <col min="11515" max="11515" width="6.5703125" style="52" customWidth="1"/>
    <col min="11516" max="11516" width="7.140625" style="52" customWidth="1"/>
    <col min="11517" max="11517" width="43.5703125" style="52" customWidth="1"/>
    <col min="11518" max="11518" width="28.7109375" style="52" customWidth="1"/>
    <col min="11519" max="11519" width="13.5703125" style="52" customWidth="1"/>
    <col min="11520" max="11520" width="13" style="52" customWidth="1"/>
    <col min="11521" max="11521" width="13.85546875" style="52" customWidth="1"/>
    <col min="11522" max="11522" width="7.140625" style="52" customWidth="1"/>
    <col min="11523" max="11523" width="9" style="52" customWidth="1"/>
    <col min="11524" max="11524" width="22.5703125" style="52" bestFit="1" customWidth="1"/>
    <col min="11525" max="11525" width="7.140625" style="52" bestFit="1" customWidth="1"/>
    <col min="11526" max="11765" width="9.140625" style="52"/>
    <col min="11766" max="11766" width="5.5703125" style="52" customWidth="1"/>
    <col min="11767" max="11767" width="7.85546875" style="52" customWidth="1"/>
    <col min="11768" max="11768" width="6.42578125" style="52" customWidth="1"/>
    <col min="11769" max="11769" width="5.85546875" style="52" customWidth="1"/>
    <col min="11770" max="11770" width="6.28515625" style="52" customWidth="1"/>
    <col min="11771" max="11771" width="6.5703125" style="52" customWidth="1"/>
    <col min="11772" max="11772" width="7.140625" style="52" customWidth="1"/>
    <col min="11773" max="11773" width="43.5703125" style="52" customWidth="1"/>
    <col min="11774" max="11774" width="28.7109375" style="52" customWidth="1"/>
    <col min="11775" max="11775" width="13.5703125" style="52" customWidth="1"/>
    <col min="11776" max="11776" width="13" style="52" customWidth="1"/>
    <col min="11777" max="11777" width="13.85546875" style="52" customWidth="1"/>
    <col min="11778" max="11778" width="7.140625" style="52" customWidth="1"/>
    <col min="11779" max="11779" width="9" style="52" customWidth="1"/>
    <col min="11780" max="11780" width="22.5703125" style="52" bestFit="1" customWidth="1"/>
    <col min="11781" max="11781" width="7.140625" style="52" bestFit="1" customWidth="1"/>
    <col min="11782" max="12021" width="9.140625" style="52"/>
    <col min="12022" max="12022" width="5.5703125" style="52" customWidth="1"/>
    <col min="12023" max="12023" width="7.85546875" style="52" customWidth="1"/>
    <col min="12024" max="12024" width="6.42578125" style="52" customWidth="1"/>
    <col min="12025" max="12025" width="5.85546875" style="52" customWidth="1"/>
    <col min="12026" max="12026" width="6.28515625" style="52" customWidth="1"/>
    <col min="12027" max="12027" width="6.5703125" style="52" customWidth="1"/>
    <col min="12028" max="12028" width="7.140625" style="52" customWidth="1"/>
    <col min="12029" max="12029" width="43.5703125" style="52" customWidth="1"/>
    <col min="12030" max="12030" width="28.7109375" style="52" customWidth="1"/>
    <col min="12031" max="12031" width="13.5703125" style="52" customWidth="1"/>
    <col min="12032" max="12032" width="13" style="52" customWidth="1"/>
    <col min="12033" max="12033" width="13.85546875" style="52" customWidth="1"/>
    <col min="12034" max="12034" width="7.140625" style="52" customWidth="1"/>
    <col min="12035" max="12035" width="9" style="52" customWidth="1"/>
    <col min="12036" max="12036" width="22.5703125" style="52" bestFit="1" customWidth="1"/>
    <col min="12037" max="12037" width="7.140625" style="52" bestFit="1" customWidth="1"/>
    <col min="12038" max="12277" width="9.140625" style="52"/>
    <col min="12278" max="12278" width="5.5703125" style="52" customWidth="1"/>
    <col min="12279" max="12279" width="7.85546875" style="52" customWidth="1"/>
    <col min="12280" max="12280" width="6.42578125" style="52" customWidth="1"/>
    <col min="12281" max="12281" width="5.85546875" style="52" customWidth="1"/>
    <col min="12282" max="12282" width="6.28515625" style="52" customWidth="1"/>
    <col min="12283" max="12283" width="6.5703125" style="52" customWidth="1"/>
    <col min="12284" max="12284" width="7.140625" style="52" customWidth="1"/>
    <col min="12285" max="12285" width="43.5703125" style="52" customWidth="1"/>
    <col min="12286" max="12286" width="28.7109375" style="52" customWidth="1"/>
    <col min="12287" max="12287" width="13.5703125" style="52" customWidth="1"/>
    <col min="12288" max="12288" width="13" style="52" customWidth="1"/>
    <col min="12289" max="12289" width="13.85546875" style="52" customWidth="1"/>
    <col min="12290" max="12290" width="7.140625" style="52" customWidth="1"/>
    <col min="12291" max="12291" width="9" style="52" customWidth="1"/>
    <col min="12292" max="12292" width="22.5703125" style="52" bestFit="1" customWidth="1"/>
    <col min="12293" max="12293" width="7.140625" style="52" bestFit="1" customWidth="1"/>
    <col min="12294" max="12533" width="9.140625" style="52"/>
    <col min="12534" max="12534" width="5.5703125" style="52" customWidth="1"/>
    <col min="12535" max="12535" width="7.85546875" style="52" customWidth="1"/>
    <col min="12536" max="12536" width="6.42578125" style="52" customWidth="1"/>
    <col min="12537" max="12537" width="5.85546875" style="52" customWidth="1"/>
    <col min="12538" max="12538" width="6.28515625" style="52" customWidth="1"/>
    <col min="12539" max="12539" width="6.5703125" style="52" customWidth="1"/>
    <col min="12540" max="12540" width="7.140625" style="52" customWidth="1"/>
    <col min="12541" max="12541" width="43.5703125" style="52" customWidth="1"/>
    <col min="12542" max="12542" width="28.7109375" style="52" customWidth="1"/>
    <col min="12543" max="12543" width="13.5703125" style="52" customWidth="1"/>
    <col min="12544" max="12544" width="13" style="52" customWidth="1"/>
    <col min="12545" max="12545" width="13.85546875" style="52" customWidth="1"/>
    <col min="12546" max="12546" width="7.140625" style="52" customWidth="1"/>
    <col min="12547" max="12547" width="9" style="52" customWidth="1"/>
    <col min="12548" max="12548" width="22.5703125" style="52" bestFit="1" customWidth="1"/>
    <col min="12549" max="12549" width="7.140625" style="52" bestFit="1" customWidth="1"/>
    <col min="12550" max="12789" width="9.140625" style="52"/>
    <col min="12790" max="12790" width="5.5703125" style="52" customWidth="1"/>
    <col min="12791" max="12791" width="7.85546875" style="52" customWidth="1"/>
    <col min="12792" max="12792" width="6.42578125" style="52" customWidth="1"/>
    <col min="12793" max="12793" width="5.85546875" style="52" customWidth="1"/>
    <col min="12794" max="12794" width="6.28515625" style="52" customWidth="1"/>
    <col min="12795" max="12795" width="6.5703125" style="52" customWidth="1"/>
    <col min="12796" max="12796" width="7.140625" style="52" customWidth="1"/>
    <col min="12797" max="12797" width="43.5703125" style="52" customWidth="1"/>
    <col min="12798" max="12798" width="28.7109375" style="52" customWidth="1"/>
    <col min="12799" max="12799" width="13.5703125" style="52" customWidth="1"/>
    <col min="12800" max="12800" width="13" style="52" customWidth="1"/>
    <col min="12801" max="12801" width="13.85546875" style="52" customWidth="1"/>
    <col min="12802" max="12802" width="7.140625" style="52" customWidth="1"/>
    <col min="12803" max="12803" width="9" style="52" customWidth="1"/>
    <col min="12804" max="12804" width="22.5703125" style="52" bestFit="1" customWidth="1"/>
    <col min="12805" max="12805" width="7.140625" style="52" bestFit="1" customWidth="1"/>
    <col min="12806" max="13045" width="9.140625" style="52"/>
    <col min="13046" max="13046" width="5.5703125" style="52" customWidth="1"/>
    <col min="13047" max="13047" width="7.85546875" style="52" customWidth="1"/>
    <col min="13048" max="13048" width="6.42578125" style="52" customWidth="1"/>
    <col min="13049" max="13049" width="5.85546875" style="52" customWidth="1"/>
    <col min="13050" max="13050" width="6.28515625" style="52" customWidth="1"/>
    <col min="13051" max="13051" width="6.5703125" style="52" customWidth="1"/>
    <col min="13052" max="13052" width="7.140625" style="52" customWidth="1"/>
    <col min="13053" max="13053" width="43.5703125" style="52" customWidth="1"/>
    <col min="13054" max="13054" width="28.7109375" style="52" customWidth="1"/>
    <col min="13055" max="13055" width="13.5703125" style="52" customWidth="1"/>
    <col min="13056" max="13056" width="13" style="52" customWidth="1"/>
    <col min="13057" max="13057" width="13.85546875" style="52" customWidth="1"/>
    <col min="13058" max="13058" width="7.140625" style="52" customWidth="1"/>
    <col min="13059" max="13059" width="9" style="52" customWidth="1"/>
    <col min="13060" max="13060" width="22.5703125" style="52" bestFit="1" customWidth="1"/>
    <col min="13061" max="13061" width="7.140625" style="52" bestFit="1" customWidth="1"/>
    <col min="13062" max="13301" width="9.140625" style="52"/>
    <col min="13302" max="13302" width="5.5703125" style="52" customWidth="1"/>
    <col min="13303" max="13303" width="7.85546875" style="52" customWidth="1"/>
    <col min="13304" max="13304" width="6.42578125" style="52" customWidth="1"/>
    <col min="13305" max="13305" width="5.85546875" style="52" customWidth="1"/>
    <col min="13306" max="13306" width="6.28515625" style="52" customWidth="1"/>
    <col min="13307" max="13307" width="6.5703125" style="52" customWidth="1"/>
    <col min="13308" max="13308" width="7.140625" style="52" customWidth="1"/>
    <col min="13309" max="13309" width="43.5703125" style="52" customWidth="1"/>
    <col min="13310" max="13310" width="28.7109375" style="52" customWidth="1"/>
    <col min="13311" max="13311" width="13.5703125" style="52" customWidth="1"/>
    <col min="13312" max="13312" width="13" style="52" customWidth="1"/>
    <col min="13313" max="13313" width="13.85546875" style="52" customWidth="1"/>
    <col min="13314" max="13314" width="7.140625" style="52" customWidth="1"/>
    <col min="13315" max="13315" width="9" style="52" customWidth="1"/>
    <col min="13316" max="13316" width="22.5703125" style="52" bestFit="1" customWidth="1"/>
    <col min="13317" max="13317" width="7.140625" style="52" bestFit="1" customWidth="1"/>
    <col min="13318" max="13557" width="9.140625" style="52"/>
    <col min="13558" max="13558" width="5.5703125" style="52" customWidth="1"/>
    <col min="13559" max="13559" width="7.85546875" style="52" customWidth="1"/>
    <col min="13560" max="13560" width="6.42578125" style="52" customWidth="1"/>
    <col min="13561" max="13561" width="5.85546875" style="52" customWidth="1"/>
    <col min="13562" max="13562" width="6.28515625" style="52" customWidth="1"/>
    <col min="13563" max="13563" width="6.5703125" style="52" customWidth="1"/>
    <col min="13564" max="13564" width="7.140625" style="52" customWidth="1"/>
    <col min="13565" max="13565" width="43.5703125" style="52" customWidth="1"/>
    <col min="13566" max="13566" width="28.7109375" style="52" customWidth="1"/>
    <col min="13567" max="13567" width="13.5703125" style="52" customWidth="1"/>
    <col min="13568" max="13568" width="13" style="52" customWidth="1"/>
    <col min="13569" max="13569" width="13.85546875" style="52" customWidth="1"/>
    <col min="13570" max="13570" width="7.140625" style="52" customWidth="1"/>
    <col min="13571" max="13571" width="9" style="52" customWidth="1"/>
    <col min="13572" max="13572" width="22.5703125" style="52" bestFit="1" customWidth="1"/>
    <col min="13573" max="13573" width="7.140625" style="52" bestFit="1" customWidth="1"/>
    <col min="13574" max="13813" width="9.140625" style="52"/>
    <col min="13814" max="13814" width="5.5703125" style="52" customWidth="1"/>
    <col min="13815" max="13815" width="7.85546875" style="52" customWidth="1"/>
    <col min="13816" max="13816" width="6.42578125" style="52" customWidth="1"/>
    <col min="13817" max="13817" width="5.85546875" style="52" customWidth="1"/>
    <col min="13818" max="13818" width="6.28515625" style="52" customWidth="1"/>
    <col min="13819" max="13819" width="6.5703125" style="52" customWidth="1"/>
    <col min="13820" max="13820" width="7.140625" style="52" customWidth="1"/>
    <col min="13821" max="13821" width="43.5703125" style="52" customWidth="1"/>
    <col min="13822" max="13822" width="28.7109375" style="52" customWidth="1"/>
    <col min="13823" max="13823" width="13.5703125" style="52" customWidth="1"/>
    <col min="13824" max="13824" width="13" style="52" customWidth="1"/>
    <col min="13825" max="13825" width="13.85546875" style="52" customWidth="1"/>
    <col min="13826" max="13826" width="7.140625" style="52" customWidth="1"/>
    <col min="13827" max="13827" width="9" style="52" customWidth="1"/>
    <col min="13828" max="13828" width="22.5703125" style="52" bestFit="1" customWidth="1"/>
    <col min="13829" max="13829" width="7.140625" style="52" bestFit="1" customWidth="1"/>
    <col min="13830" max="14069" width="9.140625" style="52"/>
    <col min="14070" max="14070" width="5.5703125" style="52" customWidth="1"/>
    <col min="14071" max="14071" width="7.85546875" style="52" customWidth="1"/>
    <col min="14072" max="14072" width="6.42578125" style="52" customWidth="1"/>
    <col min="14073" max="14073" width="5.85546875" style="52" customWidth="1"/>
    <col min="14074" max="14074" width="6.28515625" style="52" customWidth="1"/>
    <col min="14075" max="14075" width="6.5703125" style="52" customWidth="1"/>
    <col min="14076" max="14076" width="7.140625" style="52" customWidth="1"/>
    <col min="14077" max="14077" width="43.5703125" style="52" customWidth="1"/>
    <col min="14078" max="14078" width="28.7109375" style="52" customWidth="1"/>
    <col min="14079" max="14079" width="13.5703125" style="52" customWidth="1"/>
    <col min="14080" max="14080" width="13" style="52" customWidth="1"/>
    <col min="14081" max="14081" width="13.85546875" style="52" customWidth="1"/>
    <col min="14082" max="14082" width="7.140625" style="52" customWidth="1"/>
    <col min="14083" max="14083" width="9" style="52" customWidth="1"/>
    <col min="14084" max="14084" width="22.5703125" style="52" bestFit="1" customWidth="1"/>
    <col min="14085" max="14085" width="7.140625" style="52" bestFit="1" customWidth="1"/>
    <col min="14086" max="14325" width="9.140625" style="52"/>
    <col min="14326" max="14326" width="5.5703125" style="52" customWidth="1"/>
    <col min="14327" max="14327" width="7.85546875" style="52" customWidth="1"/>
    <col min="14328" max="14328" width="6.42578125" style="52" customWidth="1"/>
    <col min="14329" max="14329" width="5.85546875" style="52" customWidth="1"/>
    <col min="14330" max="14330" width="6.28515625" style="52" customWidth="1"/>
    <col min="14331" max="14331" width="6.5703125" style="52" customWidth="1"/>
    <col min="14332" max="14332" width="7.140625" style="52" customWidth="1"/>
    <col min="14333" max="14333" width="43.5703125" style="52" customWidth="1"/>
    <col min="14334" max="14334" width="28.7109375" style="52" customWidth="1"/>
    <col min="14335" max="14335" width="13.5703125" style="52" customWidth="1"/>
    <col min="14336" max="14336" width="13" style="52" customWidth="1"/>
    <col min="14337" max="14337" width="13.85546875" style="52" customWidth="1"/>
    <col min="14338" max="14338" width="7.140625" style="52" customWidth="1"/>
    <col min="14339" max="14339" width="9" style="52" customWidth="1"/>
    <col min="14340" max="14340" width="22.5703125" style="52" bestFit="1" customWidth="1"/>
    <col min="14341" max="14341" width="7.140625" style="52" bestFit="1" customWidth="1"/>
    <col min="14342" max="14581" width="9.140625" style="52"/>
    <col min="14582" max="14582" width="5.5703125" style="52" customWidth="1"/>
    <col min="14583" max="14583" width="7.85546875" style="52" customWidth="1"/>
    <col min="14584" max="14584" width="6.42578125" style="52" customWidth="1"/>
    <col min="14585" max="14585" width="5.85546875" style="52" customWidth="1"/>
    <col min="14586" max="14586" width="6.28515625" style="52" customWidth="1"/>
    <col min="14587" max="14587" width="6.5703125" style="52" customWidth="1"/>
    <col min="14588" max="14588" width="7.140625" style="52" customWidth="1"/>
    <col min="14589" max="14589" width="43.5703125" style="52" customWidth="1"/>
    <col min="14590" max="14590" width="28.7109375" style="52" customWidth="1"/>
    <col min="14591" max="14591" width="13.5703125" style="52" customWidth="1"/>
    <col min="14592" max="14592" width="13" style="52" customWidth="1"/>
    <col min="14593" max="14593" width="13.85546875" style="52" customWidth="1"/>
    <col min="14594" max="14594" width="7.140625" style="52" customWidth="1"/>
    <col min="14595" max="14595" width="9" style="52" customWidth="1"/>
    <col min="14596" max="14596" width="22.5703125" style="52" bestFit="1" customWidth="1"/>
    <col min="14597" max="14597" width="7.140625" style="52" bestFit="1" customWidth="1"/>
    <col min="14598" max="14837" width="9.140625" style="52"/>
    <col min="14838" max="14838" width="5.5703125" style="52" customWidth="1"/>
    <col min="14839" max="14839" width="7.85546875" style="52" customWidth="1"/>
    <col min="14840" max="14840" width="6.42578125" style="52" customWidth="1"/>
    <col min="14841" max="14841" width="5.85546875" style="52" customWidth="1"/>
    <col min="14842" max="14842" width="6.28515625" style="52" customWidth="1"/>
    <col min="14843" max="14843" width="6.5703125" style="52" customWidth="1"/>
    <col min="14844" max="14844" width="7.140625" style="52" customWidth="1"/>
    <col min="14845" max="14845" width="43.5703125" style="52" customWidth="1"/>
    <col min="14846" max="14846" width="28.7109375" style="52" customWidth="1"/>
    <col min="14847" max="14847" width="13.5703125" style="52" customWidth="1"/>
    <col min="14848" max="14848" width="13" style="52" customWidth="1"/>
    <col min="14849" max="14849" width="13.85546875" style="52" customWidth="1"/>
    <col min="14850" max="14850" width="7.140625" style="52" customWidth="1"/>
    <col min="14851" max="14851" width="9" style="52" customWidth="1"/>
    <col min="14852" max="14852" width="22.5703125" style="52" bestFit="1" customWidth="1"/>
    <col min="14853" max="14853" width="7.140625" style="52" bestFit="1" customWidth="1"/>
    <col min="14854" max="15093" width="9.140625" style="52"/>
    <col min="15094" max="15094" width="5.5703125" style="52" customWidth="1"/>
    <col min="15095" max="15095" width="7.85546875" style="52" customWidth="1"/>
    <col min="15096" max="15096" width="6.42578125" style="52" customWidth="1"/>
    <col min="15097" max="15097" width="5.85546875" style="52" customWidth="1"/>
    <col min="15098" max="15098" width="6.28515625" style="52" customWidth="1"/>
    <col min="15099" max="15099" width="6.5703125" style="52" customWidth="1"/>
    <col min="15100" max="15100" width="7.140625" style="52" customWidth="1"/>
    <col min="15101" max="15101" width="43.5703125" style="52" customWidth="1"/>
    <col min="15102" max="15102" width="28.7109375" style="52" customWidth="1"/>
    <col min="15103" max="15103" width="13.5703125" style="52" customWidth="1"/>
    <col min="15104" max="15104" width="13" style="52" customWidth="1"/>
    <col min="15105" max="15105" width="13.85546875" style="52" customWidth="1"/>
    <col min="15106" max="15106" width="7.140625" style="52" customWidth="1"/>
    <col min="15107" max="15107" width="9" style="52" customWidth="1"/>
    <col min="15108" max="15108" width="22.5703125" style="52" bestFit="1" customWidth="1"/>
    <col min="15109" max="15109" width="7.140625" style="52" bestFit="1" customWidth="1"/>
    <col min="15110" max="15349" width="9.140625" style="52"/>
    <col min="15350" max="15350" width="5.5703125" style="52" customWidth="1"/>
    <col min="15351" max="15351" width="7.85546875" style="52" customWidth="1"/>
    <col min="15352" max="15352" width="6.42578125" style="52" customWidth="1"/>
    <col min="15353" max="15353" width="5.85546875" style="52" customWidth="1"/>
    <col min="15354" max="15354" width="6.28515625" style="52" customWidth="1"/>
    <col min="15355" max="15355" width="6.5703125" style="52" customWidth="1"/>
    <col min="15356" max="15356" width="7.140625" style="52" customWidth="1"/>
    <col min="15357" max="15357" width="43.5703125" style="52" customWidth="1"/>
    <col min="15358" max="15358" width="28.7109375" style="52" customWidth="1"/>
    <col min="15359" max="15359" width="13.5703125" style="52" customWidth="1"/>
    <col min="15360" max="15360" width="13" style="52" customWidth="1"/>
    <col min="15361" max="15361" width="13.85546875" style="52" customWidth="1"/>
    <col min="15362" max="15362" width="7.140625" style="52" customWidth="1"/>
    <col min="15363" max="15363" width="9" style="52" customWidth="1"/>
    <col min="15364" max="15364" width="22.5703125" style="52" bestFit="1" customWidth="1"/>
    <col min="15365" max="15365" width="7.140625" style="52" bestFit="1" customWidth="1"/>
    <col min="15366" max="15605" width="9.140625" style="52"/>
    <col min="15606" max="15606" width="5.5703125" style="52" customWidth="1"/>
    <col min="15607" max="15607" width="7.85546875" style="52" customWidth="1"/>
    <col min="15608" max="15608" width="6.42578125" style="52" customWidth="1"/>
    <col min="15609" max="15609" width="5.85546875" style="52" customWidth="1"/>
    <col min="15610" max="15610" width="6.28515625" style="52" customWidth="1"/>
    <col min="15611" max="15611" width="6.5703125" style="52" customWidth="1"/>
    <col min="15612" max="15612" width="7.140625" style="52" customWidth="1"/>
    <col min="15613" max="15613" width="43.5703125" style="52" customWidth="1"/>
    <col min="15614" max="15614" width="28.7109375" style="52" customWidth="1"/>
    <col min="15615" max="15615" width="13.5703125" style="52" customWidth="1"/>
    <col min="15616" max="15616" width="13" style="52" customWidth="1"/>
    <col min="15617" max="15617" width="13.85546875" style="52" customWidth="1"/>
    <col min="15618" max="15618" width="7.140625" style="52" customWidth="1"/>
    <col min="15619" max="15619" width="9" style="52" customWidth="1"/>
    <col min="15620" max="15620" width="22.5703125" style="52" bestFit="1" customWidth="1"/>
    <col min="15621" max="15621" width="7.140625" style="52" bestFit="1" customWidth="1"/>
    <col min="15622" max="15861" width="9.140625" style="52"/>
    <col min="15862" max="15862" width="5.5703125" style="52" customWidth="1"/>
    <col min="15863" max="15863" width="7.85546875" style="52" customWidth="1"/>
    <col min="15864" max="15864" width="6.42578125" style="52" customWidth="1"/>
    <col min="15865" max="15865" width="5.85546875" style="52" customWidth="1"/>
    <col min="15866" max="15866" width="6.28515625" style="52" customWidth="1"/>
    <col min="15867" max="15867" width="6.5703125" style="52" customWidth="1"/>
    <col min="15868" max="15868" width="7.140625" style="52" customWidth="1"/>
    <col min="15869" max="15869" width="43.5703125" style="52" customWidth="1"/>
    <col min="15870" max="15870" width="28.7109375" style="52" customWidth="1"/>
    <col min="15871" max="15871" width="13.5703125" style="52" customWidth="1"/>
    <col min="15872" max="15872" width="13" style="52" customWidth="1"/>
    <col min="15873" max="15873" width="13.85546875" style="52" customWidth="1"/>
    <col min="15874" max="15874" width="7.140625" style="52" customWidth="1"/>
    <col min="15875" max="15875" width="9" style="52" customWidth="1"/>
    <col min="15876" max="15876" width="22.5703125" style="52" bestFit="1" customWidth="1"/>
    <col min="15877" max="15877" width="7.140625" style="52" bestFit="1" customWidth="1"/>
    <col min="15878" max="16117" width="9.140625" style="52"/>
    <col min="16118" max="16118" width="5.5703125" style="52" customWidth="1"/>
    <col min="16119" max="16119" width="7.85546875" style="52" customWidth="1"/>
    <col min="16120" max="16120" width="6.42578125" style="52" customWidth="1"/>
    <col min="16121" max="16121" width="5.85546875" style="52" customWidth="1"/>
    <col min="16122" max="16122" width="6.28515625" style="52" customWidth="1"/>
    <col min="16123" max="16123" width="6.5703125" style="52" customWidth="1"/>
    <col min="16124" max="16124" width="7.140625" style="52" customWidth="1"/>
    <col min="16125" max="16125" width="43.5703125" style="52" customWidth="1"/>
    <col min="16126" max="16126" width="28.7109375" style="52" customWidth="1"/>
    <col min="16127" max="16127" width="13.5703125" style="52" customWidth="1"/>
    <col min="16128" max="16128" width="13" style="52" customWidth="1"/>
    <col min="16129" max="16129" width="13.85546875" style="52" customWidth="1"/>
    <col min="16130" max="16130" width="7.140625" style="52" customWidth="1"/>
    <col min="16131" max="16131" width="9" style="52" customWidth="1"/>
    <col min="16132" max="16132" width="22.5703125" style="52" bestFit="1" customWidth="1"/>
    <col min="16133" max="16133" width="7.140625" style="52" bestFit="1" customWidth="1"/>
    <col min="16134" max="16384" width="9.140625" style="52"/>
  </cols>
  <sheetData>
    <row r="1" spans="1:11" s="6" customFormat="1" ht="30">
      <c r="A1" s="5" t="s">
        <v>45</v>
      </c>
      <c r="B1" s="5"/>
    </row>
    <row r="2" spans="1:11" s="6" customFormat="1" ht="17.45">
      <c r="A2" s="15" t="str">
        <f>+Risks!A2</f>
        <v>Project name:</v>
      </c>
      <c r="B2" s="15"/>
    </row>
    <row r="3" spans="1:11" s="6" customFormat="1" ht="17.45">
      <c r="A3" s="15" t="str">
        <f>+Risks!A3</f>
        <v>Kaizen Project manager:</v>
      </c>
      <c r="B3" s="15"/>
    </row>
    <row r="4" spans="1:11" s="6" customFormat="1" ht="17.45">
      <c r="A4" s="15" t="str">
        <f>+Risks!A4</f>
        <v>Client Project manager:</v>
      </c>
      <c r="B4" s="15"/>
    </row>
    <row r="5" spans="1:11" s="6" customFormat="1" ht="17.45">
      <c r="A5" s="22" t="s">
        <v>20</v>
      </c>
      <c r="B5" s="15"/>
      <c r="C5" s="73">
        <f ca="1">+Risks!$C$5</f>
        <v>46209</v>
      </c>
    </row>
    <row r="6" spans="1:11" s="6" customFormat="1" ht="17.45">
      <c r="A6" s="15"/>
      <c r="B6" s="15"/>
    </row>
    <row r="7" spans="1:11" s="17" customFormat="1" ht="75.75" customHeight="1">
      <c r="A7" s="50" t="s">
        <v>46</v>
      </c>
      <c r="B7" s="50" t="s">
        <v>47</v>
      </c>
      <c r="C7" s="50" t="s">
        <v>22</v>
      </c>
      <c r="D7" s="50" t="s">
        <v>48</v>
      </c>
      <c r="E7" s="50" t="s">
        <v>49</v>
      </c>
      <c r="F7" s="50" t="s">
        <v>50</v>
      </c>
      <c r="G7" s="50" t="s">
        <v>51</v>
      </c>
      <c r="H7" s="50" t="s">
        <v>52</v>
      </c>
      <c r="I7" s="50" t="s">
        <v>32</v>
      </c>
      <c r="J7" s="50" t="s">
        <v>53</v>
      </c>
      <c r="K7" s="16" t="s">
        <v>54</v>
      </c>
    </row>
    <row r="8" spans="1:11" s="51" customFormat="1" ht="13.9">
      <c r="A8" s="28">
        <v>1</v>
      </c>
      <c r="B8" s="29"/>
      <c r="C8" s="30"/>
      <c r="D8" s="31"/>
      <c r="E8" s="32" t="s">
        <v>38</v>
      </c>
      <c r="F8" s="33"/>
      <c r="G8" s="34"/>
      <c r="H8" s="35"/>
      <c r="I8" s="32"/>
      <c r="J8" s="3"/>
      <c r="K8" s="55"/>
    </row>
    <row r="9" spans="1:11" ht="13.9">
      <c r="A9" s="28">
        <v>2</v>
      </c>
      <c r="B9" s="29"/>
      <c r="C9" s="30"/>
      <c r="D9" s="31"/>
      <c r="E9" s="36" t="s">
        <v>37</v>
      </c>
      <c r="F9" s="33"/>
      <c r="G9" s="34"/>
      <c r="H9" s="35"/>
      <c r="I9" s="32"/>
      <c r="J9" s="1"/>
      <c r="K9" s="56"/>
    </row>
    <row r="10" spans="1:11" ht="13.9">
      <c r="A10" s="28">
        <v>3</v>
      </c>
      <c r="B10" s="29"/>
      <c r="C10" s="30"/>
      <c r="D10" s="31"/>
      <c r="E10" s="36" t="s">
        <v>55</v>
      </c>
      <c r="F10" s="33"/>
      <c r="G10" s="32"/>
      <c r="H10" s="37"/>
      <c r="I10" s="32"/>
      <c r="J10" s="1"/>
      <c r="K10" s="57"/>
    </row>
    <row r="11" spans="1:11" ht="13.9">
      <c r="A11" s="28">
        <v>4</v>
      </c>
      <c r="B11" s="29"/>
      <c r="C11" s="30"/>
      <c r="D11" s="31"/>
      <c r="E11" s="32"/>
      <c r="F11" s="38"/>
      <c r="G11" s="34"/>
      <c r="H11" s="37"/>
      <c r="I11" s="32"/>
      <c r="J11" s="1"/>
      <c r="K11" s="57"/>
    </row>
    <row r="12" spans="1:11" ht="13.9">
      <c r="A12" s="28">
        <v>5</v>
      </c>
      <c r="B12" s="29"/>
      <c r="C12" s="30"/>
      <c r="D12" s="31"/>
      <c r="E12" s="36"/>
      <c r="F12" s="33"/>
      <c r="G12" s="32"/>
      <c r="H12" s="37"/>
      <c r="I12" s="32"/>
      <c r="J12" s="1"/>
      <c r="K12" s="57"/>
    </row>
    <row r="13" spans="1:11" ht="13.9">
      <c r="A13" s="28">
        <v>6</v>
      </c>
      <c r="B13" s="29"/>
      <c r="C13" s="30"/>
      <c r="D13" s="31"/>
      <c r="E13" s="36"/>
      <c r="F13" s="33"/>
      <c r="G13" s="32"/>
      <c r="H13" s="37"/>
      <c r="I13" s="32"/>
      <c r="J13" s="1"/>
      <c r="K13" s="57"/>
    </row>
    <row r="14" spans="1:11" ht="13.9">
      <c r="A14" s="28">
        <v>7</v>
      </c>
      <c r="B14" s="29"/>
      <c r="C14" s="30"/>
      <c r="D14" s="31"/>
      <c r="E14" s="32"/>
      <c r="F14" s="33"/>
      <c r="G14" s="32"/>
      <c r="H14" s="37"/>
      <c r="I14" s="32"/>
      <c r="J14" s="1"/>
      <c r="K14" s="57"/>
    </row>
    <row r="15" spans="1:11" ht="13.9">
      <c r="A15" s="28">
        <v>8</v>
      </c>
      <c r="B15" s="29"/>
      <c r="C15" s="30"/>
      <c r="D15" s="31"/>
      <c r="E15" s="32"/>
      <c r="F15" s="38"/>
      <c r="G15" s="34"/>
      <c r="H15" s="37"/>
      <c r="I15" s="32"/>
      <c r="J15" s="1"/>
      <c r="K15" s="57"/>
    </row>
    <row r="16" spans="1:11" ht="13.9">
      <c r="A16" s="28">
        <v>9</v>
      </c>
      <c r="B16" s="29"/>
      <c r="C16" s="30"/>
      <c r="D16" s="31"/>
      <c r="E16" s="32"/>
      <c r="F16" s="38"/>
      <c r="G16" s="34"/>
      <c r="H16" s="37"/>
      <c r="I16" s="32"/>
      <c r="J16" s="1"/>
      <c r="K16" s="57"/>
    </row>
    <row r="17" spans="1:11" ht="13.9">
      <c r="A17" s="28">
        <v>10</v>
      </c>
      <c r="B17" s="29"/>
      <c r="C17" s="30"/>
      <c r="D17" s="31"/>
      <c r="E17" s="32"/>
      <c r="F17" s="38"/>
      <c r="G17" s="32"/>
      <c r="H17" s="37"/>
      <c r="I17" s="32"/>
      <c r="J17" s="1"/>
      <c r="K17" s="57"/>
    </row>
    <row r="18" spans="1:11" s="53" customFormat="1" ht="13.9">
      <c r="A18" s="28">
        <v>11</v>
      </c>
      <c r="B18" s="29"/>
      <c r="C18" s="30"/>
      <c r="D18" s="31"/>
      <c r="E18" s="32"/>
      <c r="F18" s="38"/>
      <c r="G18" s="32"/>
      <c r="H18" s="37"/>
      <c r="I18" s="32"/>
      <c r="J18" s="39"/>
      <c r="K18" s="57"/>
    </row>
    <row r="19" spans="1:11" ht="13.9">
      <c r="A19" s="28">
        <v>12</v>
      </c>
      <c r="B19" s="29"/>
      <c r="C19" s="30"/>
      <c r="D19" s="31"/>
      <c r="E19" s="32"/>
      <c r="F19" s="38"/>
      <c r="G19" s="32"/>
      <c r="H19" s="37"/>
      <c r="I19" s="32"/>
      <c r="J19" s="1"/>
      <c r="K19" s="57"/>
    </row>
    <row r="20" spans="1:11" ht="13.9">
      <c r="A20" s="28">
        <v>13</v>
      </c>
      <c r="B20" s="29"/>
      <c r="C20" s="30"/>
      <c r="D20" s="31"/>
      <c r="E20" s="32"/>
      <c r="F20" s="38"/>
      <c r="G20" s="32"/>
      <c r="H20" s="40"/>
      <c r="I20" s="32"/>
      <c r="J20" s="1"/>
      <c r="K20" s="57"/>
    </row>
    <row r="21" spans="1:11" ht="13.9">
      <c r="A21" s="28">
        <v>14</v>
      </c>
      <c r="B21" s="29"/>
      <c r="C21" s="30"/>
      <c r="D21" s="31"/>
      <c r="E21" s="41"/>
      <c r="F21" s="42"/>
      <c r="G21" s="32"/>
      <c r="H21" s="37"/>
      <c r="I21" s="32"/>
      <c r="J21" s="1"/>
      <c r="K21" s="42"/>
    </row>
    <row r="22" spans="1:11" ht="13.9">
      <c r="A22" s="28">
        <v>15</v>
      </c>
      <c r="B22" s="29"/>
      <c r="C22" s="30"/>
      <c r="D22" s="31"/>
      <c r="E22" s="41"/>
      <c r="F22" s="42"/>
      <c r="G22" s="44"/>
      <c r="H22" s="40"/>
      <c r="I22" s="32"/>
      <c r="J22" s="1"/>
      <c r="K22" s="43"/>
    </row>
    <row r="23" spans="1:11" ht="13.9">
      <c r="A23" s="28">
        <v>16</v>
      </c>
      <c r="B23" s="29"/>
      <c r="C23" s="30"/>
      <c r="D23" s="31"/>
      <c r="E23" s="41"/>
      <c r="F23" s="42"/>
      <c r="G23" s="44"/>
      <c r="H23" s="40"/>
      <c r="I23" s="32"/>
      <c r="J23" s="1"/>
      <c r="K23" s="42"/>
    </row>
    <row r="24" spans="1:11" ht="13.9">
      <c r="A24" s="28">
        <v>17</v>
      </c>
      <c r="B24" s="29"/>
      <c r="C24" s="30"/>
      <c r="D24" s="31"/>
      <c r="E24" s="41"/>
      <c r="F24" s="42"/>
      <c r="G24" s="44"/>
      <c r="H24" s="40"/>
      <c r="I24" s="32"/>
      <c r="J24" s="1"/>
      <c r="K24" s="42"/>
    </row>
    <row r="25" spans="1:11" ht="13.9">
      <c r="A25" s="28">
        <v>18</v>
      </c>
      <c r="B25" s="29"/>
      <c r="C25" s="30"/>
      <c r="D25" s="31"/>
      <c r="E25" s="41"/>
      <c r="F25" s="42"/>
      <c r="G25" s="44"/>
      <c r="H25" s="40"/>
      <c r="I25" s="32"/>
      <c r="J25" s="1"/>
      <c r="K25" s="42"/>
    </row>
    <row r="26" spans="1:11" ht="13.9">
      <c r="A26" s="28">
        <v>19</v>
      </c>
      <c r="B26" s="29"/>
      <c r="C26" s="30"/>
      <c r="D26" s="31"/>
      <c r="E26" s="41"/>
      <c r="F26" s="45"/>
      <c r="G26" s="44"/>
      <c r="H26" s="40"/>
      <c r="I26" s="32"/>
      <c r="J26" s="1"/>
      <c r="K26" s="42"/>
    </row>
    <row r="27" spans="1:11" ht="13.9">
      <c r="A27" s="28">
        <v>20</v>
      </c>
      <c r="B27" s="29"/>
      <c r="C27" s="30"/>
      <c r="D27" s="31"/>
      <c r="E27" s="41"/>
      <c r="F27" s="33"/>
      <c r="G27" s="32"/>
      <c r="H27" s="40"/>
      <c r="I27" s="32"/>
      <c r="J27" s="1"/>
      <c r="K27" s="38"/>
    </row>
    <row r="28" spans="1:11" ht="13.9">
      <c r="A28" s="28">
        <v>21</v>
      </c>
      <c r="B28" s="29"/>
      <c r="C28" s="30"/>
      <c r="D28" s="31"/>
      <c r="E28" s="41"/>
      <c r="F28" s="33"/>
      <c r="G28" s="32"/>
      <c r="H28" s="40"/>
      <c r="I28" s="32"/>
      <c r="J28" s="1"/>
      <c r="K28" s="38"/>
    </row>
    <row r="29" spans="1:11" ht="13.9">
      <c r="A29" s="28">
        <v>22</v>
      </c>
      <c r="B29" s="29"/>
      <c r="C29" s="30"/>
      <c r="D29" s="31"/>
      <c r="E29" s="41"/>
      <c r="F29" s="33"/>
      <c r="G29" s="44"/>
      <c r="H29" s="40"/>
      <c r="I29" s="32"/>
      <c r="J29" s="1"/>
      <c r="K29" s="38"/>
    </row>
    <row r="30" spans="1:11" ht="13.9">
      <c r="A30" s="28">
        <v>23</v>
      </c>
      <c r="B30" s="29"/>
      <c r="C30" s="30"/>
      <c r="D30" s="31"/>
      <c r="E30" s="32"/>
      <c r="F30" s="46"/>
      <c r="G30" s="44"/>
      <c r="H30" s="37"/>
      <c r="I30" s="32"/>
      <c r="J30" s="1"/>
      <c r="K30" s="57"/>
    </row>
    <row r="31" spans="1:11" ht="13.9">
      <c r="A31" s="28">
        <v>24</v>
      </c>
      <c r="B31" s="29"/>
      <c r="C31" s="30"/>
      <c r="D31" s="31"/>
      <c r="E31" s="32"/>
      <c r="F31" s="33"/>
      <c r="G31" s="32"/>
      <c r="H31" s="37"/>
      <c r="I31" s="32"/>
      <c r="J31" s="1"/>
      <c r="K31" s="57"/>
    </row>
    <row r="32" spans="1:11" ht="13.9">
      <c r="A32" s="28">
        <v>25</v>
      </c>
      <c r="B32" s="29"/>
      <c r="C32" s="30"/>
      <c r="D32" s="31"/>
      <c r="E32" s="32"/>
      <c r="F32" s="33"/>
      <c r="G32" s="44"/>
      <c r="H32" s="37"/>
      <c r="I32" s="32"/>
      <c r="J32" s="1"/>
      <c r="K32" s="57"/>
    </row>
    <row r="33" spans="1:11" ht="13.9">
      <c r="A33" s="28">
        <v>26</v>
      </c>
      <c r="B33" s="29"/>
      <c r="C33" s="30"/>
      <c r="D33" s="31"/>
      <c r="E33" s="32"/>
      <c r="F33" s="33"/>
      <c r="G33" s="32"/>
      <c r="H33" s="37"/>
      <c r="I33" s="32"/>
      <c r="J33" s="1"/>
      <c r="K33" s="57"/>
    </row>
    <row r="34" spans="1:11" ht="13.9">
      <c r="A34" s="28">
        <v>27</v>
      </c>
      <c r="B34" s="29"/>
      <c r="C34" s="30"/>
      <c r="D34" s="31"/>
      <c r="E34" s="32"/>
      <c r="F34" s="33"/>
      <c r="G34" s="44"/>
      <c r="H34" s="37"/>
      <c r="I34" s="32"/>
      <c r="J34" s="1"/>
      <c r="K34" s="57"/>
    </row>
    <row r="35" spans="1:11" ht="13.9">
      <c r="A35" s="28">
        <v>28</v>
      </c>
      <c r="B35" s="29"/>
      <c r="C35" s="30"/>
      <c r="D35" s="31"/>
      <c r="E35" s="32"/>
      <c r="F35" s="33"/>
      <c r="G35" s="32"/>
      <c r="H35" s="37"/>
      <c r="I35" s="32"/>
      <c r="J35" s="1"/>
      <c r="K35" s="57"/>
    </row>
    <row r="36" spans="1:11" ht="13.9">
      <c r="A36" s="28">
        <v>29</v>
      </c>
      <c r="B36" s="29"/>
      <c r="C36" s="30"/>
      <c r="D36" s="31"/>
      <c r="E36" s="32"/>
      <c r="F36" s="42"/>
      <c r="G36" s="32"/>
      <c r="H36" s="37"/>
      <c r="I36" s="32"/>
      <c r="J36" s="1"/>
      <c r="K36" s="42"/>
    </row>
    <row r="37" spans="1:11" ht="13.9">
      <c r="A37" s="28">
        <v>30</v>
      </c>
      <c r="B37" s="29"/>
      <c r="C37" s="30"/>
      <c r="D37" s="31"/>
      <c r="E37" s="32"/>
      <c r="F37" s="33"/>
      <c r="G37" s="32"/>
      <c r="H37" s="37"/>
      <c r="I37" s="32"/>
      <c r="J37" s="1"/>
      <c r="K37" s="57"/>
    </row>
    <row r="38" spans="1:11" ht="13.9">
      <c r="A38" s="28">
        <v>31</v>
      </c>
      <c r="B38" s="29"/>
      <c r="C38" s="30"/>
      <c r="D38" s="31"/>
      <c r="E38" s="32"/>
      <c r="F38" s="33"/>
      <c r="G38" s="32"/>
      <c r="H38" s="37"/>
      <c r="I38" s="32"/>
      <c r="J38" s="1"/>
      <c r="K38" s="58"/>
    </row>
    <row r="39" spans="1:11" ht="13.9">
      <c r="A39" s="28">
        <v>32</v>
      </c>
      <c r="B39" s="29"/>
      <c r="C39" s="30"/>
      <c r="D39" s="31"/>
      <c r="E39" s="32"/>
      <c r="F39" s="33"/>
      <c r="G39" s="32"/>
      <c r="H39" s="37"/>
      <c r="I39" s="32"/>
      <c r="J39" s="1"/>
      <c r="K39" s="57"/>
    </row>
    <row r="40" spans="1:11" ht="13.9">
      <c r="A40" s="28">
        <v>33</v>
      </c>
      <c r="B40" s="29"/>
      <c r="C40" s="30"/>
      <c r="D40" s="31"/>
      <c r="E40" s="32"/>
      <c r="F40" s="33"/>
      <c r="G40" s="32"/>
      <c r="H40" s="37"/>
      <c r="I40" s="32"/>
      <c r="J40" s="1"/>
      <c r="K40" s="57"/>
    </row>
    <row r="41" spans="1:11" ht="13.9">
      <c r="A41" s="28">
        <v>34</v>
      </c>
      <c r="B41" s="29"/>
      <c r="C41" s="30"/>
      <c r="D41" s="31"/>
      <c r="E41" s="32"/>
      <c r="F41" s="33"/>
      <c r="G41" s="32"/>
      <c r="H41" s="37"/>
      <c r="I41" s="32"/>
      <c r="J41" s="1"/>
      <c r="K41" s="57"/>
    </row>
    <row r="42" spans="1:11" ht="13.9">
      <c r="A42" s="28">
        <v>35</v>
      </c>
      <c r="B42" s="29"/>
      <c r="C42" s="30"/>
      <c r="D42" s="31"/>
      <c r="E42" s="32"/>
      <c r="F42" s="33"/>
      <c r="G42" s="32"/>
      <c r="H42" s="37"/>
      <c r="I42" s="32"/>
      <c r="J42" s="1"/>
      <c r="K42" s="58"/>
    </row>
    <row r="43" spans="1:11" ht="13.9">
      <c r="A43" s="28">
        <v>36</v>
      </c>
      <c r="B43" s="29"/>
      <c r="C43" s="30"/>
      <c r="D43" s="31"/>
      <c r="E43" s="32"/>
      <c r="F43" s="33"/>
      <c r="G43" s="32"/>
      <c r="H43" s="37"/>
      <c r="I43" s="32"/>
      <c r="J43" s="1"/>
      <c r="K43" s="57"/>
    </row>
    <row r="44" spans="1:11" ht="13.9">
      <c r="A44" s="28">
        <v>37</v>
      </c>
      <c r="B44" s="29"/>
      <c r="C44" s="30"/>
      <c r="D44" s="31"/>
      <c r="E44" s="32"/>
      <c r="F44" s="33"/>
      <c r="G44" s="32"/>
      <c r="H44" s="37"/>
      <c r="I44" s="32"/>
      <c r="J44" s="1"/>
      <c r="K44" s="57"/>
    </row>
    <row r="45" spans="1:11" ht="13.9">
      <c r="A45" s="28">
        <v>38</v>
      </c>
      <c r="B45" s="29"/>
      <c r="C45" s="30"/>
      <c r="D45" s="31"/>
      <c r="E45" s="32"/>
      <c r="F45" s="33"/>
      <c r="G45" s="32"/>
      <c r="H45" s="37"/>
      <c r="I45" s="32"/>
      <c r="J45" s="1"/>
      <c r="K45" s="58"/>
    </row>
    <row r="46" spans="1:11" ht="13.9">
      <c r="A46" s="28">
        <v>39</v>
      </c>
      <c r="B46" s="29"/>
      <c r="C46" s="30"/>
      <c r="D46" s="31"/>
      <c r="E46" s="32"/>
      <c r="F46" s="33"/>
      <c r="G46" s="32"/>
      <c r="H46" s="37"/>
      <c r="I46" s="32"/>
      <c r="J46" s="1"/>
      <c r="K46" s="58"/>
    </row>
    <row r="47" spans="1:11" ht="13.9">
      <c r="A47" s="28">
        <v>40</v>
      </c>
      <c r="B47" s="29"/>
      <c r="C47" s="30"/>
      <c r="D47" s="31"/>
      <c r="E47" s="32"/>
      <c r="F47" s="33"/>
      <c r="G47" s="32"/>
      <c r="H47" s="37"/>
      <c r="I47" s="32"/>
      <c r="J47" s="1"/>
      <c r="K47" s="57"/>
    </row>
    <row r="48" spans="1:11" ht="13.9">
      <c r="A48" s="28">
        <v>41</v>
      </c>
      <c r="B48" s="29"/>
      <c r="C48" s="30"/>
      <c r="D48" s="31"/>
      <c r="E48" s="32"/>
      <c r="F48" s="33"/>
      <c r="G48" s="32"/>
      <c r="H48" s="37"/>
      <c r="I48" s="32"/>
      <c r="J48" s="1"/>
      <c r="K48" s="57"/>
    </row>
    <row r="49" spans="1:11" ht="13.9">
      <c r="A49" s="28">
        <v>42</v>
      </c>
      <c r="B49" s="29"/>
      <c r="C49" s="30"/>
      <c r="D49" s="31"/>
      <c r="E49" s="32"/>
      <c r="F49" s="33"/>
      <c r="G49" s="32"/>
      <c r="H49" s="37"/>
      <c r="I49" s="32"/>
      <c r="J49" s="1"/>
      <c r="K49" s="57"/>
    </row>
    <row r="50" spans="1:11" ht="13.9">
      <c r="A50" s="28">
        <v>43</v>
      </c>
      <c r="B50" s="29"/>
      <c r="C50" s="30"/>
      <c r="D50" s="31"/>
      <c r="E50" s="32"/>
      <c r="F50" s="33"/>
      <c r="G50" s="32"/>
      <c r="H50" s="37"/>
      <c r="I50" s="32"/>
      <c r="J50" s="1"/>
      <c r="K50" s="57"/>
    </row>
    <row r="51" spans="1:11" ht="13.9">
      <c r="A51" s="28">
        <v>44</v>
      </c>
      <c r="B51" s="29"/>
      <c r="C51" s="30"/>
      <c r="D51" s="31"/>
      <c r="E51" s="32"/>
      <c r="F51" s="33"/>
      <c r="G51" s="32"/>
      <c r="H51" s="37"/>
      <c r="I51" s="32"/>
      <c r="J51" s="1"/>
      <c r="K51" s="57"/>
    </row>
    <row r="52" spans="1:11" ht="13.9">
      <c r="A52" s="28">
        <v>45</v>
      </c>
      <c r="B52" s="29"/>
      <c r="C52" s="30"/>
      <c r="D52" s="31"/>
      <c r="E52" s="32"/>
      <c r="F52" s="33"/>
      <c r="G52" s="32"/>
      <c r="H52" s="37"/>
      <c r="I52" s="32"/>
      <c r="J52" s="1"/>
      <c r="K52" s="57"/>
    </row>
    <row r="53" spans="1:11" ht="13.9">
      <c r="A53" s="28">
        <v>46</v>
      </c>
      <c r="B53" s="29"/>
      <c r="C53" s="30"/>
      <c r="D53" s="31"/>
      <c r="E53" s="32"/>
      <c r="F53" s="33"/>
      <c r="G53" s="32"/>
      <c r="H53" s="37"/>
      <c r="I53" s="32"/>
      <c r="J53" s="1"/>
      <c r="K53" s="57"/>
    </row>
    <row r="54" spans="1:11" s="54" customFormat="1" ht="13.9">
      <c r="A54" s="28">
        <v>47</v>
      </c>
      <c r="B54" s="28"/>
      <c r="C54" s="47"/>
      <c r="D54" s="31"/>
      <c r="E54" s="41"/>
      <c r="F54" s="42"/>
      <c r="G54" s="32"/>
      <c r="H54" s="40"/>
      <c r="I54" s="32"/>
      <c r="J54" s="2"/>
      <c r="K54" s="42"/>
    </row>
    <row r="55" spans="1:11" s="54" customFormat="1" ht="13.9">
      <c r="A55" s="28">
        <v>48</v>
      </c>
      <c r="B55" s="28"/>
      <c r="C55" s="47"/>
      <c r="D55" s="31"/>
      <c r="E55" s="41"/>
      <c r="F55" s="42"/>
      <c r="G55" s="32"/>
      <c r="H55" s="40"/>
      <c r="I55" s="32"/>
      <c r="J55" s="2"/>
      <c r="K55" s="42"/>
    </row>
    <row r="56" spans="1:11" s="54" customFormat="1" ht="13.9">
      <c r="A56" s="28">
        <v>49</v>
      </c>
      <c r="B56" s="28"/>
      <c r="C56" s="47"/>
      <c r="D56" s="31"/>
      <c r="E56" s="41"/>
      <c r="F56" s="42"/>
      <c r="G56" s="32"/>
      <c r="H56" s="40"/>
      <c r="I56" s="32"/>
      <c r="J56" s="2"/>
      <c r="K56" s="42"/>
    </row>
    <row r="57" spans="1:11" s="54" customFormat="1" ht="13.9">
      <c r="A57" s="28">
        <v>50</v>
      </c>
      <c r="B57" s="28"/>
      <c r="C57" s="47"/>
      <c r="D57" s="31"/>
      <c r="E57" s="41"/>
      <c r="F57" s="42"/>
      <c r="G57" s="44"/>
      <c r="H57" s="40"/>
      <c r="I57" s="32"/>
      <c r="J57" s="2"/>
      <c r="K57" s="42"/>
    </row>
    <row r="58" spans="1:11" s="54" customFormat="1" ht="13.9">
      <c r="A58" s="28">
        <v>51</v>
      </c>
      <c r="B58" s="28"/>
      <c r="C58" s="47"/>
      <c r="D58" s="31"/>
      <c r="E58" s="41"/>
      <c r="F58" s="42"/>
      <c r="G58" s="32"/>
      <c r="H58" s="40"/>
      <c r="I58" s="32"/>
      <c r="J58" s="2"/>
      <c r="K58" s="42"/>
    </row>
    <row r="59" spans="1:11" s="54" customFormat="1" ht="13.9">
      <c r="A59" s="28">
        <v>52</v>
      </c>
      <c r="B59" s="28"/>
      <c r="C59" s="47"/>
      <c r="D59" s="31"/>
      <c r="E59" s="41"/>
      <c r="F59" s="42"/>
      <c r="G59" s="32"/>
      <c r="H59" s="40"/>
      <c r="I59" s="32"/>
      <c r="J59" s="2"/>
      <c r="K59" s="42"/>
    </row>
    <row r="60" spans="1:11" s="54" customFormat="1" ht="13.9">
      <c r="A60" s="28">
        <v>53</v>
      </c>
      <c r="B60" s="28"/>
      <c r="C60" s="47"/>
      <c r="D60" s="31"/>
      <c r="E60" s="41"/>
      <c r="F60" s="42"/>
      <c r="G60" s="44"/>
      <c r="H60" s="40"/>
      <c r="I60" s="32"/>
      <c r="J60" s="2"/>
      <c r="K60" s="42"/>
    </row>
    <row r="61" spans="1:11" s="54" customFormat="1" ht="13.9">
      <c r="A61" s="28">
        <v>54</v>
      </c>
      <c r="B61" s="28"/>
      <c r="C61" s="47"/>
      <c r="D61" s="44"/>
      <c r="E61" s="41"/>
      <c r="F61" s="42"/>
      <c r="G61" s="44"/>
      <c r="H61" s="40"/>
      <c r="I61" s="32"/>
      <c r="J61" s="2"/>
      <c r="K61" s="43"/>
    </row>
    <row r="62" spans="1:11" s="54" customFormat="1" ht="13.9">
      <c r="A62" s="28">
        <v>55</v>
      </c>
      <c r="B62" s="28"/>
      <c r="C62" s="47"/>
      <c r="D62" s="44"/>
      <c r="E62" s="41"/>
      <c r="F62" s="42"/>
      <c r="G62" s="44"/>
      <c r="H62" s="40"/>
      <c r="I62" s="32"/>
      <c r="J62" s="2"/>
      <c r="K62" s="42"/>
    </row>
    <row r="63" spans="1:11" s="54" customFormat="1" ht="13.9">
      <c r="A63" s="28">
        <v>56</v>
      </c>
      <c r="B63" s="28"/>
      <c r="C63" s="47"/>
      <c r="D63" s="44"/>
      <c r="E63" s="41"/>
      <c r="F63" s="42"/>
      <c r="G63" s="44"/>
      <c r="H63" s="40"/>
      <c r="I63" s="32"/>
      <c r="J63" s="2"/>
      <c r="K63" s="42"/>
    </row>
    <row r="64" spans="1:11" s="54" customFormat="1" ht="13.9">
      <c r="A64" s="28">
        <v>57</v>
      </c>
      <c r="B64" s="28"/>
      <c r="C64" s="47"/>
      <c r="D64" s="44"/>
      <c r="E64" s="41"/>
      <c r="F64" s="42"/>
      <c r="G64" s="44"/>
      <c r="H64" s="40"/>
      <c r="I64" s="32"/>
      <c r="J64" s="2"/>
      <c r="K64" s="42"/>
    </row>
    <row r="65" spans="1:11" s="54" customFormat="1" ht="13.9">
      <c r="A65" s="28">
        <v>58</v>
      </c>
      <c r="B65" s="28"/>
      <c r="C65" s="47"/>
      <c r="D65" s="44"/>
      <c r="E65" s="41"/>
      <c r="F65" s="42"/>
      <c r="G65" s="44"/>
      <c r="H65" s="40"/>
      <c r="I65" s="32"/>
      <c r="J65" s="2"/>
      <c r="K65" s="42"/>
    </row>
    <row r="66" spans="1:11" s="54" customFormat="1" ht="13.9">
      <c r="A66" s="28">
        <v>59</v>
      </c>
      <c r="B66" s="28"/>
      <c r="C66" s="47"/>
      <c r="D66" s="44"/>
      <c r="E66" s="41"/>
      <c r="F66" s="42"/>
      <c r="G66" s="44"/>
      <c r="H66" s="40"/>
      <c r="I66" s="32"/>
      <c r="J66" s="2"/>
      <c r="K66" s="42"/>
    </row>
    <row r="67" spans="1:11" s="54" customFormat="1" ht="13.9">
      <c r="A67" s="28">
        <v>60</v>
      </c>
      <c r="B67" s="28"/>
      <c r="C67" s="47"/>
      <c r="D67" s="44"/>
      <c r="E67" s="41"/>
      <c r="F67" s="42"/>
      <c r="G67" s="44"/>
      <c r="H67" s="40"/>
      <c r="I67" s="32"/>
      <c r="J67" s="2"/>
      <c r="K67" s="42"/>
    </row>
    <row r="68" spans="1:11" s="54" customFormat="1" ht="13.9">
      <c r="A68" s="28">
        <v>61</v>
      </c>
      <c r="B68" s="28"/>
      <c r="C68" s="47"/>
      <c r="D68" s="44"/>
      <c r="E68" s="41"/>
      <c r="F68" s="42"/>
      <c r="G68" s="44"/>
      <c r="H68" s="40"/>
      <c r="I68" s="32"/>
      <c r="J68" s="2"/>
      <c r="K68" s="42"/>
    </row>
    <row r="69" spans="1:11" s="54" customFormat="1" ht="13.9">
      <c r="A69" s="28">
        <v>62</v>
      </c>
      <c r="B69" s="28"/>
      <c r="C69" s="47"/>
      <c r="D69" s="44"/>
      <c r="E69" s="41"/>
      <c r="F69" s="42"/>
      <c r="G69" s="44"/>
      <c r="H69" s="40"/>
      <c r="I69" s="32"/>
      <c r="J69" s="2"/>
      <c r="K69" s="42"/>
    </row>
    <row r="70" spans="1:11" s="54" customFormat="1" ht="13.9">
      <c r="A70" s="28">
        <v>63</v>
      </c>
      <c r="B70" s="28"/>
      <c r="C70" s="47"/>
      <c r="D70" s="44"/>
      <c r="E70" s="41"/>
      <c r="F70" s="42"/>
      <c r="G70" s="44"/>
      <c r="H70" s="40"/>
      <c r="I70" s="32"/>
      <c r="J70" s="2"/>
      <c r="K70" s="42"/>
    </row>
    <row r="71" spans="1:11" s="54" customFormat="1" ht="13.9">
      <c r="A71" s="28">
        <v>64</v>
      </c>
      <c r="B71" s="28"/>
      <c r="C71" s="47"/>
      <c r="D71" s="44"/>
      <c r="E71" s="41"/>
      <c r="F71" s="42"/>
      <c r="G71" s="44"/>
      <c r="H71" s="40"/>
      <c r="I71" s="32"/>
      <c r="J71" s="2"/>
      <c r="K71" s="42"/>
    </row>
    <row r="72" spans="1:11" s="54" customFormat="1" ht="13.9">
      <c r="A72" s="28">
        <v>65</v>
      </c>
      <c r="B72" s="28"/>
      <c r="C72" s="47"/>
      <c r="D72" s="44"/>
      <c r="E72" s="41"/>
      <c r="F72" s="42"/>
      <c r="G72" s="44"/>
      <c r="H72" s="40"/>
      <c r="I72" s="32"/>
      <c r="J72" s="2"/>
      <c r="K72" s="42"/>
    </row>
    <row r="73" spans="1:11" s="54" customFormat="1" ht="13.9">
      <c r="A73" s="28">
        <v>66</v>
      </c>
      <c r="B73" s="28"/>
      <c r="C73" s="47"/>
      <c r="D73" s="44"/>
      <c r="E73" s="41"/>
      <c r="F73" s="42"/>
      <c r="G73" s="44"/>
      <c r="H73" s="40"/>
      <c r="I73" s="32"/>
      <c r="J73" s="2"/>
      <c r="K73" s="42"/>
    </row>
    <row r="74" spans="1:11" s="54" customFormat="1" ht="13.9">
      <c r="A74" s="28">
        <v>67</v>
      </c>
      <c r="B74" s="28"/>
      <c r="C74" s="47"/>
      <c r="D74" s="44"/>
      <c r="E74" s="41"/>
      <c r="F74" s="42"/>
      <c r="G74" s="44"/>
      <c r="H74" s="40"/>
      <c r="I74" s="32"/>
      <c r="J74" s="2"/>
      <c r="K74" s="42"/>
    </row>
    <row r="75" spans="1:11" s="54" customFormat="1" ht="13.9">
      <c r="A75" s="28">
        <v>68</v>
      </c>
      <c r="B75" s="28"/>
      <c r="C75" s="47"/>
      <c r="D75" s="44"/>
      <c r="E75" s="41"/>
      <c r="F75" s="42"/>
      <c r="G75" s="44"/>
      <c r="H75" s="40"/>
      <c r="I75" s="32"/>
      <c r="J75" s="2"/>
      <c r="K75" s="42"/>
    </row>
    <row r="76" spans="1:11" s="54" customFormat="1" ht="13.9">
      <c r="A76" s="28">
        <v>69</v>
      </c>
      <c r="B76" s="28"/>
      <c r="C76" s="47"/>
      <c r="D76" s="44"/>
      <c r="E76" s="41"/>
      <c r="F76" s="42"/>
      <c r="G76" s="44"/>
      <c r="H76" s="40"/>
      <c r="I76" s="32"/>
      <c r="J76" s="2"/>
      <c r="K76" s="42"/>
    </row>
    <row r="77" spans="1:11" s="54" customFormat="1" ht="13.9">
      <c r="A77" s="28">
        <v>70</v>
      </c>
      <c r="B77" s="28"/>
      <c r="C77" s="47"/>
      <c r="D77" s="44"/>
      <c r="E77" s="41"/>
      <c r="F77" s="42"/>
      <c r="G77" s="44"/>
      <c r="H77" s="40"/>
      <c r="I77" s="32"/>
      <c r="J77" s="2"/>
      <c r="K77" s="42"/>
    </row>
    <row r="78" spans="1:11" s="54" customFormat="1" ht="13.9">
      <c r="A78" s="28">
        <v>71</v>
      </c>
      <c r="B78" s="28"/>
      <c r="C78" s="47"/>
      <c r="D78" s="44"/>
      <c r="E78" s="41"/>
      <c r="F78" s="42"/>
      <c r="G78" s="44"/>
      <c r="H78" s="40"/>
      <c r="I78" s="32"/>
      <c r="J78" s="2"/>
      <c r="K78" s="42"/>
    </row>
    <row r="79" spans="1:11" s="54" customFormat="1" ht="13.9">
      <c r="A79" s="28">
        <v>72</v>
      </c>
      <c r="B79" s="28"/>
      <c r="C79" s="47"/>
      <c r="D79" s="44"/>
      <c r="E79" s="41"/>
      <c r="F79" s="42"/>
      <c r="G79" s="44"/>
      <c r="H79" s="40"/>
      <c r="I79" s="41"/>
      <c r="J79" s="2"/>
      <c r="K79" s="42"/>
    </row>
    <row r="80" spans="1:11" s="54" customFormat="1" ht="13.9">
      <c r="A80" s="28">
        <v>73</v>
      </c>
      <c r="B80" s="28"/>
      <c r="C80" s="47"/>
      <c r="D80" s="44"/>
      <c r="E80" s="41"/>
      <c r="F80" s="42"/>
      <c r="G80" s="44"/>
      <c r="H80" s="40"/>
      <c r="I80" s="41"/>
      <c r="J80" s="2"/>
      <c r="K80" s="43"/>
    </row>
    <row r="81" spans="1:11" s="54" customFormat="1" ht="13.9">
      <c r="A81" s="28">
        <v>74</v>
      </c>
      <c r="B81" s="28"/>
      <c r="C81" s="47"/>
      <c r="D81" s="44"/>
      <c r="E81" s="41"/>
      <c r="F81" s="42"/>
      <c r="G81" s="44"/>
      <c r="H81" s="40"/>
      <c r="I81" s="41"/>
      <c r="J81" s="2"/>
      <c r="K81" s="42"/>
    </row>
    <row r="82" spans="1:11" s="54" customFormat="1" ht="13.9">
      <c r="A82" s="28">
        <v>75</v>
      </c>
      <c r="B82" s="28"/>
      <c r="C82" s="47"/>
      <c r="D82" s="44"/>
      <c r="E82" s="41"/>
      <c r="F82" s="42"/>
      <c r="G82" s="44"/>
      <c r="H82" s="40"/>
      <c r="I82" s="41"/>
      <c r="J82" s="2"/>
      <c r="K82" s="42"/>
    </row>
    <row r="83" spans="1:11" s="54" customFormat="1" ht="13.9">
      <c r="A83" s="28">
        <v>76</v>
      </c>
      <c r="B83" s="28"/>
      <c r="C83" s="47"/>
      <c r="D83" s="44"/>
      <c r="E83" s="41"/>
      <c r="F83" s="42"/>
      <c r="G83" s="44"/>
      <c r="H83" s="40"/>
      <c r="I83" s="41"/>
      <c r="J83" s="2"/>
      <c r="K83" s="42"/>
    </row>
    <row r="84" spans="1:11" s="54" customFormat="1" ht="13.9">
      <c r="A84" s="28">
        <v>77</v>
      </c>
      <c r="B84" s="28"/>
      <c r="C84" s="47"/>
      <c r="D84" s="44"/>
      <c r="E84" s="41"/>
      <c r="F84" s="42"/>
      <c r="G84" s="44"/>
      <c r="H84" s="40"/>
      <c r="I84" s="41"/>
      <c r="J84" s="2"/>
      <c r="K84" s="42"/>
    </row>
    <row r="85" spans="1:11" s="54" customFormat="1" ht="13.9">
      <c r="A85" s="28">
        <v>78</v>
      </c>
      <c r="B85" s="28"/>
      <c r="C85" s="47"/>
      <c r="D85" s="44"/>
      <c r="E85" s="41"/>
      <c r="F85" s="42"/>
      <c r="G85" s="44"/>
      <c r="H85" s="40"/>
      <c r="I85" s="41"/>
      <c r="J85" s="2"/>
      <c r="K85" s="42"/>
    </row>
    <row r="86" spans="1:11" s="54" customFormat="1" ht="13.9">
      <c r="A86" s="28">
        <v>79</v>
      </c>
      <c r="B86" s="28"/>
      <c r="C86" s="47"/>
      <c r="D86" s="44"/>
      <c r="E86" s="41"/>
      <c r="F86" s="42"/>
      <c r="G86" s="44"/>
      <c r="H86" s="40"/>
      <c r="I86" s="41"/>
      <c r="J86" s="2"/>
      <c r="K86" s="42"/>
    </row>
    <row r="87" spans="1:11" s="54" customFormat="1" ht="13.9">
      <c r="A87" s="28">
        <v>80</v>
      </c>
      <c r="B87" s="28"/>
      <c r="C87" s="47"/>
      <c r="D87" s="44"/>
      <c r="E87" s="41"/>
      <c r="F87" s="42"/>
      <c r="G87" s="44"/>
      <c r="H87" s="40"/>
      <c r="I87" s="41"/>
      <c r="J87" s="2"/>
      <c r="K87" s="42"/>
    </row>
    <row r="88" spans="1:11" s="54" customFormat="1" ht="13.9">
      <c r="A88" s="28">
        <v>81</v>
      </c>
      <c r="B88" s="28"/>
      <c r="C88" s="47"/>
      <c r="D88" s="44"/>
      <c r="E88" s="41"/>
      <c r="F88" s="42"/>
      <c r="G88" s="44"/>
      <c r="H88" s="40"/>
      <c r="I88" s="41"/>
      <c r="J88" s="2"/>
      <c r="K88" s="42"/>
    </row>
    <row r="89" spans="1:11" s="54" customFormat="1" ht="13.9">
      <c r="A89" s="28">
        <v>82</v>
      </c>
      <c r="B89" s="28"/>
      <c r="C89" s="47"/>
      <c r="D89" s="44"/>
      <c r="E89" s="41"/>
      <c r="F89" s="42"/>
      <c r="G89" s="44"/>
      <c r="H89" s="40"/>
      <c r="I89" s="41"/>
      <c r="J89" s="2"/>
      <c r="K89" s="42"/>
    </row>
    <row r="90" spans="1:11" s="54" customFormat="1" ht="13.9">
      <c r="A90" s="28">
        <v>83</v>
      </c>
      <c r="B90" s="28"/>
      <c r="C90" s="47"/>
      <c r="D90" s="44"/>
      <c r="E90" s="41"/>
      <c r="F90" s="42"/>
      <c r="G90" s="44"/>
      <c r="H90" s="40"/>
      <c r="I90" s="41"/>
      <c r="J90" s="2"/>
      <c r="K90" s="42"/>
    </row>
    <row r="91" spans="1:11" s="54" customFormat="1" ht="13.9">
      <c r="A91" s="28">
        <v>84</v>
      </c>
      <c r="B91" s="28"/>
      <c r="C91" s="47"/>
      <c r="D91" s="44"/>
      <c r="E91" s="41"/>
      <c r="F91" s="42"/>
      <c r="G91" s="44"/>
      <c r="H91" s="40"/>
      <c r="I91" s="41"/>
      <c r="J91" s="2"/>
      <c r="K91" s="42"/>
    </row>
    <row r="92" spans="1:11" s="54" customFormat="1" ht="13.9">
      <c r="A92" s="28">
        <v>85</v>
      </c>
      <c r="B92" s="28"/>
      <c r="C92" s="47"/>
      <c r="D92" s="44"/>
      <c r="E92" s="41"/>
      <c r="F92" s="42"/>
      <c r="G92" s="44"/>
      <c r="H92" s="40"/>
      <c r="I92" s="41"/>
      <c r="J92" s="2"/>
      <c r="K92" s="42"/>
    </row>
    <row r="93" spans="1:11" s="54" customFormat="1" ht="13.9">
      <c r="A93" s="28">
        <v>86</v>
      </c>
      <c r="B93" s="28"/>
      <c r="C93" s="47"/>
      <c r="D93" s="44"/>
      <c r="E93" s="41"/>
      <c r="F93" s="42"/>
      <c r="G93" s="44"/>
      <c r="H93" s="40"/>
      <c r="I93" s="41"/>
      <c r="J93" s="2"/>
      <c r="K93" s="42"/>
    </row>
    <row r="94" spans="1:11" s="54" customFormat="1" ht="13.9">
      <c r="A94" s="28">
        <v>87</v>
      </c>
      <c r="B94" s="28"/>
      <c r="C94" s="47"/>
      <c r="D94" s="44"/>
      <c r="E94" s="41"/>
      <c r="F94" s="42"/>
      <c r="G94" s="44"/>
      <c r="H94" s="40"/>
      <c r="I94" s="41"/>
      <c r="J94" s="2"/>
      <c r="K94" s="42"/>
    </row>
    <row r="95" spans="1:11" s="54" customFormat="1" ht="13.9">
      <c r="A95" s="28">
        <v>88</v>
      </c>
      <c r="B95" s="28"/>
      <c r="C95" s="47"/>
      <c r="D95" s="44"/>
      <c r="E95" s="41"/>
      <c r="F95" s="42"/>
      <c r="G95" s="44"/>
      <c r="H95" s="40"/>
      <c r="I95" s="41"/>
      <c r="J95" s="2"/>
      <c r="K95" s="42"/>
    </row>
    <row r="96" spans="1:11" s="54" customFormat="1" ht="13.9">
      <c r="A96" s="28">
        <v>89</v>
      </c>
      <c r="B96" s="28"/>
      <c r="C96" s="47"/>
      <c r="D96" s="44"/>
      <c r="E96" s="41"/>
      <c r="F96" s="42"/>
      <c r="G96" s="44"/>
      <c r="H96" s="40"/>
      <c r="I96" s="41"/>
      <c r="J96" s="2"/>
      <c r="K96" s="42"/>
    </row>
    <row r="97" spans="1:11" s="54" customFormat="1" ht="13.9">
      <c r="A97" s="28">
        <v>90</v>
      </c>
      <c r="B97" s="28"/>
      <c r="C97" s="47"/>
      <c r="D97" s="44"/>
      <c r="E97" s="41"/>
      <c r="F97" s="42"/>
      <c r="G97" s="44"/>
      <c r="H97" s="40"/>
      <c r="I97" s="41"/>
      <c r="J97" s="2"/>
      <c r="K97" s="42"/>
    </row>
    <row r="98" spans="1:11" s="54" customFormat="1" ht="13.9">
      <c r="A98" s="28">
        <v>91</v>
      </c>
      <c r="B98" s="28"/>
      <c r="C98" s="47"/>
      <c r="D98" s="44"/>
      <c r="E98" s="41"/>
      <c r="F98" s="42"/>
      <c r="G98" s="44"/>
      <c r="H98" s="40"/>
      <c r="I98" s="41"/>
      <c r="J98" s="2"/>
      <c r="K98" s="42"/>
    </row>
    <row r="99" spans="1:11" s="54" customFormat="1" ht="13.9">
      <c r="A99" s="28">
        <v>92</v>
      </c>
      <c r="B99" s="28"/>
      <c r="C99" s="47"/>
      <c r="D99" s="44"/>
      <c r="E99" s="41"/>
      <c r="F99" s="42"/>
      <c r="G99" s="44"/>
      <c r="H99" s="40"/>
      <c r="I99" s="41"/>
      <c r="J99" s="2"/>
      <c r="K99" s="42"/>
    </row>
    <row r="100" spans="1:11" s="54" customFormat="1" ht="13.9">
      <c r="A100" s="28">
        <v>93</v>
      </c>
      <c r="B100" s="28"/>
      <c r="C100" s="47"/>
      <c r="D100" s="44"/>
      <c r="E100" s="41"/>
      <c r="F100" s="42"/>
      <c r="G100" s="44"/>
      <c r="H100" s="40"/>
      <c r="I100" s="41"/>
      <c r="J100" s="2"/>
      <c r="K100" s="42"/>
    </row>
    <row r="101" spans="1:11" s="54" customFormat="1" ht="13.9">
      <c r="A101" s="28">
        <v>94</v>
      </c>
      <c r="B101" s="28"/>
      <c r="C101" s="47"/>
      <c r="D101" s="44"/>
      <c r="E101" s="41"/>
      <c r="F101" s="42"/>
      <c r="G101" s="44"/>
      <c r="H101" s="40"/>
      <c r="I101" s="41"/>
      <c r="J101" s="2"/>
      <c r="K101" s="42"/>
    </row>
    <row r="102" spans="1:11" s="54" customFormat="1" ht="13.9">
      <c r="A102" s="28">
        <v>95</v>
      </c>
      <c r="B102" s="28"/>
      <c r="C102" s="47"/>
      <c r="D102" s="44"/>
      <c r="E102" s="41"/>
      <c r="F102" s="42"/>
      <c r="G102" s="44"/>
      <c r="H102" s="40"/>
      <c r="I102" s="41"/>
      <c r="J102" s="2"/>
      <c r="K102" s="42"/>
    </row>
    <row r="103" spans="1:11" s="54" customFormat="1" ht="13.9">
      <c r="A103" s="28">
        <v>96</v>
      </c>
      <c r="B103" s="28"/>
      <c r="C103" s="47"/>
      <c r="D103" s="44"/>
      <c r="E103" s="41"/>
      <c r="F103" s="42"/>
      <c r="G103" s="44"/>
      <c r="H103" s="40"/>
      <c r="I103" s="41"/>
      <c r="J103" s="2"/>
      <c r="K103" s="42"/>
    </row>
    <row r="104" spans="1:11" s="54" customFormat="1" ht="13.9">
      <c r="A104" s="28">
        <v>97</v>
      </c>
      <c r="B104" s="28"/>
      <c r="C104" s="47"/>
      <c r="D104" s="44"/>
      <c r="E104" s="41"/>
      <c r="F104" s="42"/>
      <c r="G104" s="44"/>
      <c r="H104" s="40"/>
      <c r="I104" s="41"/>
      <c r="J104" s="2"/>
      <c r="K104" s="42"/>
    </row>
    <row r="105" spans="1:11" s="54" customFormat="1" ht="13.9">
      <c r="A105" s="28">
        <v>98</v>
      </c>
      <c r="B105" s="28"/>
      <c r="C105" s="47"/>
      <c r="D105" s="44"/>
      <c r="E105" s="41"/>
      <c r="F105" s="42"/>
      <c r="G105" s="44"/>
      <c r="H105" s="40"/>
      <c r="I105" s="41"/>
      <c r="J105" s="2"/>
      <c r="K105" s="42"/>
    </row>
    <row r="106" spans="1:11" s="54" customFormat="1" ht="13.9">
      <c r="A106" s="28">
        <v>99</v>
      </c>
      <c r="B106" s="28"/>
      <c r="C106" s="47"/>
      <c r="D106" s="44"/>
      <c r="E106" s="41"/>
      <c r="F106" s="42"/>
      <c r="G106" s="44"/>
      <c r="H106" s="40"/>
      <c r="I106" s="41"/>
      <c r="J106" s="2"/>
      <c r="K106" s="42"/>
    </row>
    <row r="107" spans="1:11" s="54" customFormat="1" ht="13.9">
      <c r="A107" s="28">
        <v>100</v>
      </c>
      <c r="B107" s="28"/>
      <c r="C107" s="47"/>
      <c r="D107" s="44"/>
      <c r="E107" s="41"/>
      <c r="F107" s="42"/>
      <c r="G107" s="44"/>
      <c r="H107" s="40"/>
      <c r="I107" s="41"/>
      <c r="J107" s="2"/>
      <c r="K107" s="42"/>
    </row>
    <row r="108" spans="1:11" s="54" customFormat="1" ht="13.9">
      <c r="A108" s="28">
        <v>101</v>
      </c>
      <c r="B108" s="28"/>
      <c r="C108" s="47"/>
      <c r="D108" s="44"/>
      <c r="E108" s="41"/>
      <c r="F108" s="42"/>
      <c r="G108" s="44"/>
      <c r="H108" s="40"/>
      <c r="I108" s="41"/>
      <c r="J108" s="2"/>
      <c r="K108" s="42"/>
    </row>
    <row r="109" spans="1:11" s="54" customFormat="1" ht="13.9">
      <c r="A109" s="28">
        <v>102</v>
      </c>
      <c r="B109" s="28"/>
      <c r="C109" s="47"/>
      <c r="D109" s="44"/>
      <c r="E109" s="41"/>
      <c r="F109" s="42"/>
      <c r="G109" s="44"/>
      <c r="H109" s="40"/>
      <c r="I109" s="41"/>
      <c r="J109" s="2"/>
      <c r="K109" s="42"/>
    </row>
    <row r="110" spans="1:11" s="54" customFormat="1" ht="13.9">
      <c r="A110" s="28">
        <v>103</v>
      </c>
      <c r="B110" s="28"/>
      <c r="C110" s="47"/>
      <c r="D110" s="44"/>
      <c r="E110" s="41"/>
      <c r="F110" s="42"/>
      <c r="G110" s="44"/>
      <c r="H110" s="40"/>
      <c r="I110" s="41"/>
      <c r="J110" s="2"/>
      <c r="K110" s="42"/>
    </row>
    <row r="111" spans="1:11" s="54" customFormat="1" ht="13.9">
      <c r="A111" s="28">
        <v>104</v>
      </c>
      <c r="B111" s="28"/>
      <c r="C111" s="47"/>
      <c r="D111" s="44"/>
      <c r="E111" s="41"/>
      <c r="F111" s="42"/>
      <c r="G111" s="44"/>
      <c r="H111" s="40"/>
      <c r="I111" s="41"/>
      <c r="J111" s="2"/>
      <c r="K111" s="42"/>
    </row>
    <row r="112" spans="1:11" s="54" customFormat="1" ht="13.9">
      <c r="A112" s="28">
        <v>105</v>
      </c>
      <c r="B112" s="28"/>
      <c r="C112" s="47"/>
      <c r="D112" s="44"/>
      <c r="E112" s="41"/>
      <c r="F112" s="42"/>
      <c r="G112" s="44"/>
      <c r="H112" s="40"/>
      <c r="I112" s="41"/>
      <c r="J112" s="2"/>
      <c r="K112" s="42"/>
    </row>
    <row r="113" spans="1:11" s="54" customFormat="1" ht="13.9">
      <c r="A113" s="28">
        <v>106</v>
      </c>
      <c r="B113" s="28"/>
      <c r="C113" s="47"/>
      <c r="D113" s="44"/>
      <c r="E113" s="41"/>
      <c r="F113" s="42"/>
      <c r="G113" s="44"/>
      <c r="H113" s="40"/>
      <c r="I113" s="41"/>
      <c r="J113" s="2"/>
      <c r="K113" s="42"/>
    </row>
    <row r="114" spans="1:11" s="54" customFormat="1" ht="13.9">
      <c r="A114" s="28">
        <v>107</v>
      </c>
      <c r="B114" s="28"/>
      <c r="C114" s="47"/>
      <c r="D114" s="44"/>
      <c r="E114" s="41"/>
      <c r="F114" s="42"/>
      <c r="G114" s="44"/>
      <c r="H114" s="40"/>
      <c r="I114" s="41"/>
      <c r="J114" s="2"/>
      <c r="K114" s="42"/>
    </row>
    <row r="115" spans="1:11" s="54" customFormat="1" ht="13.9">
      <c r="A115" s="28">
        <v>108</v>
      </c>
      <c r="B115" s="28"/>
      <c r="C115" s="47"/>
      <c r="D115" s="44"/>
      <c r="E115" s="41"/>
      <c r="F115" s="42"/>
      <c r="G115" s="44"/>
      <c r="H115" s="40"/>
      <c r="I115" s="41"/>
      <c r="J115" s="2"/>
      <c r="K115" s="42"/>
    </row>
    <row r="116" spans="1:11" s="54" customFormat="1" ht="13.9">
      <c r="A116" s="28">
        <v>109</v>
      </c>
      <c r="B116" s="28"/>
      <c r="C116" s="47"/>
      <c r="D116" s="44"/>
      <c r="E116" s="41"/>
      <c r="F116" s="42"/>
      <c r="G116" s="44"/>
      <c r="H116" s="40"/>
      <c r="I116" s="41"/>
      <c r="J116" s="2"/>
      <c r="K116" s="42"/>
    </row>
    <row r="117" spans="1:11" s="54" customFormat="1" ht="13.9">
      <c r="A117" s="28">
        <v>110</v>
      </c>
      <c r="B117" s="28"/>
      <c r="C117" s="47"/>
      <c r="D117" s="44"/>
      <c r="E117" s="41"/>
      <c r="F117" s="42"/>
      <c r="G117" s="44"/>
      <c r="H117" s="40"/>
      <c r="I117" s="41"/>
      <c r="J117" s="2"/>
      <c r="K117" s="42"/>
    </row>
    <row r="118" spans="1:11" s="54" customFormat="1" ht="13.9">
      <c r="A118" s="28">
        <v>111</v>
      </c>
      <c r="B118" s="28"/>
      <c r="C118" s="47"/>
      <c r="D118" s="44"/>
      <c r="E118" s="41"/>
      <c r="F118" s="42"/>
      <c r="G118" s="44"/>
      <c r="H118" s="40"/>
      <c r="I118" s="41"/>
      <c r="J118" s="2"/>
      <c r="K118" s="42"/>
    </row>
    <row r="119" spans="1:11" s="54" customFormat="1" ht="13.9">
      <c r="A119" s="28">
        <v>112</v>
      </c>
      <c r="B119" s="28"/>
      <c r="C119" s="47"/>
      <c r="D119" s="44"/>
      <c r="E119" s="41"/>
      <c r="F119" s="42"/>
      <c r="G119" s="44"/>
      <c r="H119" s="40"/>
      <c r="I119" s="41"/>
      <c r="J119" s="2"/>
      <c r="K119" s="42"/>
    </row>
    <row r="120" spans="1:11" s="54" customFormat="1" ht="13.9">
      <c r="A120" s="28">
        <v>113</v>
      </c>
      <c r="B120" s="28"/>
      <c r="C120" s="47"/>
      <c r="D120" s="44"/>
      <c r="E120" s="41"/>
      <c r="F120" s="42"/>
      <c r="G120" s="44"/>
      <c r="H120" s="40"/>
      <c r="I120" s="41"/>
      <c r="J120" s="2"/>
      <c r="K120" s="42"/>
    </row>
    <row r="121" spans="1:11" s="54" customFormat="1" ht="13.9">
      <c r="A121" s="28">
        <v>114</v>
      </c>
      <c r="B121" s="28"/>
      <c r="C121" s="47"/>
      <c r="D121" s="44"/>
      <c r="E121" s="41"/>
      <c r="F121" s="42"/>
      <c r="G121" s="44"/>
      <c r="H121" s="40"/>
      <c r="I121" s="41"/>
      <c r="J121" s="2"/>
      <c r="K121" s="42"/>
    </row>
    <row r="122" spans="1:11" s="54" customFormat="1" ht="13.9">
      <c r="A122" s="28">
        <v>115</v>
      </c>
      <c r="B122" s="28"/>
      <c r="C122" s="47"/>
      <c r="D122" s="44"/>
      <c r="E122" s="41"/>
      <c r="F122" s="42"/>
      <c r="G122" s="44"/>
      <c r="H122" s="40"/>
      <c r="I122" s="41"/>
      <c r="J122" s="2"/>
      <c r="K122" s="42"/>
    </row>
    <row r="123" spans="1:11" s="54" customFormat="1" ht="13.9">
      <c r="A123" s="28">
        <v>116</v>
      </c>
      <c r="B123" s="28"/>
      <c r="C123" s="47"/>
      <c r="D123" s="44"/>
      <c r="E123" s="41"/>
      <c r="F123" s="42"/>
      <c r="G123" s="44"/>
      <c r="H123" s="40"/>
      <c r="I123" s="41"/>
      <c r="J123" s="2"/>
      <c r="K123" s="42"/>
    </row>
    <row r="124" spans="1:11" s="54" customFormat="1" ht="13.9">
      <c r="A124" s="28">
        <v>117</v>
      </c>
      <c r="B124" s="28"/>
      <c r="C124" s="47"/>
      <c r="D124" s="44"/>
      <c r="E124" s="41"/>
      <c r="F124" s="42"/>
      <c r="G124" s="44"/>
      <c r="H124" s="40"/>
      <c r="I124" s="41"/>
      <c r="J124" s="2"/>
      <c r="K124" s="42"/>
    </row>
    <row r="125" spans="1:11" s="54" customFormat="1" ht="13.9">
      <c r="A125" s="28">
        <v>118</v>
      </c>
      <c r="B125" s="28"/>
      <c r="C125" s="47"/>
      <c r="D125" s="44"/>
      <c r="E125" s="41"/>
      <c r="F125" s="42"/>
      <c r="G125" s="44"/>
      <c r="H125" s="40"/>
      <c r="I125" s="41"/>
      <c r="J125" s="2"/>
      <c r="K125" s="42"/>
    </row>
    <row r="126" spans="1:11" s="54" customFormat="1" ht="13.9">
      <c r="A126" s="28">
        <v>119</v>
      </c>
      <c r="B126" s="28"/>
      <c r="C126" s="47"/>
      <c r="D126" s="44"/>
      <c r="E126" s="41"/>
      <c r="F126" s="42"/>
      <c r="G126" s="44"/>
      <c r="H126" s="40"/>
      <c r="I126" s="41"/>
      <c r="J126" s="2"/>
      <c r="K126" s="42"/>
    </row>
    <row r="127" spans="1:11" s="54" customFormat="1" ht="13.9">
      <c r="A127" s="28">
        <v>120</v>
      </c>
      <c r="B127" s="28"/>
      <c r="C127" s="47"/>
      <c r="D127" s="44"/>
      <c r="E127" s="41"/>
      <c r="F127" s="42"/>
      <c r="G127" s="44"/>
      <c r="H127" s="40"/>
      <c r="I127" s="41"/>
      <c r="J127" s="2"/>
      <c r="K127" s="42"/>
    </row>
    <row r="128" spans="1:11" s="54" customFormat="1" ht="13.9">
      <c r="A128" s="28">
        <v>121</v>
      </c>
      <c r="B128" s="28"/>
      <c r="C128" s="47"/>
      <c r="D128" s="44"/>
      <c r="E128" s="41"/>
      <c r="F128" s="42"/>
      <c r="G128" s="44"/>
      <c r="H128" s="40"/>
      <c r="I128" s="41"/>
      <c r="J128" s="2"/>
      <c r="K128" s="42"/>
    </row>
    <row r="129" spans="1:11" s="54" customFormat="1" ht="13.9">
      <c r="A129" s="28">
        <v>122</v>
      </c>
      <c r="B129" s="28"/>
      <c r="C129" s="47"/>
      <c r="D129" s="44"/>
      <c r="E129" s="41"/>
      <c r="F129" s="42"/>
      <c r="G129" s="44"/>
      <c r="H129" s="40"/>
      <c r="I129" s="41"/>
      <c r="J129" s="2"/>
      <c r="K129" s="42"/>
    </row>
    <row r="130" spans="1:11" s="54" customFormat="1" ht="13.9">
      <c r="A130" s="28">
        <v>123</v>
      </c>
      <c r="B130" s="28"/>
      <c r="C130" s="47"/>
      <c r="D130" s="44"/>
      <c r="E130" s="41"/>
      <c r="F130" s="42"/>
      <c r="G130" s="44"/>
      <c r="H130" s="40"/>
      <c r="I130" s="41"/>
      <c r="J130" s="2"/>
      <c r="K130" s="42"/>
    </row>
    <row r="131" spans="1:11" s="54" customFormat="1" ht="13.9">
      <c r="A131" s="28">
        <v>124</v>
      </c>
      <c r="B131" s="28"/>
      <c r="C131" s="47"/>
      <c r="D131" s="44"/>
      <c r="E131" s="41"/>
      <c r="F131" s="42"/>
      <c r="G131" s="44"/>
      <c r="H131" s="40"/>
      <c r="I131" s="41"/>
      <c r="J131" s="2"/>
      <c r="K131" s="42"/>
    </row>
    <row r="132" spans="1:11" s="54" customFormat="1" ht="13.9">
      <c r="A132" s="28">
        <v>125</v>
      </c>
      <c r="B132" s="28"/>
      <c r="C132" s="47"/>
      <c r="D132" s="44"/>
      <c r="E132" s="41"/>
      <c r="F132" s="42"/>
      <c r="G132" s="44"/>
      <c r="H132" s="40"/>
      <c r="I132" s="41"/>
      <c r="J132" s="2"/>
      <c r="K132" s="42"/>
    </row>
    <row r="133" spans="1:11" s="54" customFormat="1" ht="13.9">
      <c r="A133" s="28">
        <v>126</v>
      </c>
      <c r="B133" s="28"/>
      <c r="C133" s="47"/>
      <c r="D133" s="44"/>
      <c r="E133" s="41"/>
      <c r="F133" s="42"/>
      <c r="G133" s="44"/>
      <c r="H133" s="40"/>
      <c r="I133" s="41"/>
      <c r="J133" s="2"/>
      <c r="K133" s="42"/>
    </row>
    <row r="134" spans="1:11" s="54" customFormat="1" ht="13.9">
      <c r="A134" s="28">
        <v>127</v>
      </c>
      <c r="B134" s="28"/>
      <c r="C134" s="47"/>
      <c r="D134" s="44"/>
      <c r="E134" s="41"/>
      <c r="F134" s="42"/>
      <c r="G134" s="44"/>
      <c r="H134" s="40"/>
      <c r="I134" s="41"/>
      <c r="J134" s="2"/>
      <c r="K134" s="42"/>
    </row>
    <row r="135" spans="1:11" s="54" customFormat="1" ht="13.9">
      <c r="A135" s="28">
        <v>128</v>
      </c>
      <c r="B135" s="28"/>
      <c r="C135" s="47"/>
      <c r="D135" s="44"/>
      <c r="E135" s="41"/>
      <c r="F135" s="42"/>
      <c r="G135" s="44"/>
      <c r="H135" s="40"/>
      <c r="I135" s="41"/>
      <c r="J135" s="2"/>
      <c r="K135" s="42"/>
    </row>
    <row r="136" spans="1:11" s="54" customFormat="1" ht="13.9">
      <c r="A136" s="28">
        <v>129</v>
      </c>
      <c r="B136" s="28"/>
      <c r="C136" s="47"/>
      <c r="D136" s="44"/>
      <c r="E136" s="41"/>
      <c r="F136" s="42"/>
      <c r="G136" s="44"/>
      <c r="H136" s="40"/>
      <c r="I136" s="41"/>
      <c r="J136" s="2"/>
      <c r="K136" s="42"/>
    </row>
    <row r="137" spans="1:11" s="54" customFormat="1" ht="13.9">
      <c r="A137" s="28">
        <v>130</v>
      </c>
      <c r="B137" s="28"/>
      <c r="C137" s="47"/>
      <c r="D137" s="44"/>
      <c r="E137" s="41"/>
      <c r="F137" s="42"/>
      <c r="G137" s="44"/>
      <c r="H137" s="40"/>
      <c r="I137" s="41"/>
      <c r="J137" s="2"/>
      <c r="K137" s="42"/>
    </row>
    <row r="138" spans="1:11" s="54" customFormat="1" ht="13.9">
      <c r="A138" s="28">
        <v>131</v>
      </c>
      <c r="B138" s="28"/>
      <c r="C138" s="47"/>
      <c r="D138" s="44"/>
      <c r="E138" s="41"/>
      <c r="F138" s="42"/>
      <c r="G138" s="44"/>
      <c r="H138" s="40"/>
      <c r="I138" s="41"/>
      <c r="J138" s="2"/>
      <c r="K138" s="42"/>
    </row>
    <row r="139" spans="1:11" s="54" customFormat="1" ht="13.9">
      <c r="A139" s="28">
        <v>132</v>
      </c>
      <c r="B139" s="28"/>
      <c r="C139" s="47"/>
      <c r="D139" s="44"/>
      <c r="E139" s="41"/>
      <c r="F139" s="42"/>
      <c r="G139" s="44"/>
      <c r="H139" s="40"/>
      <c r="I139" s="41"/>
      <c r="J139" s="2"/>
      <c r="K139" s="42"/>
    </row>
    <row r="140" spans="1:11" s="54" customFormat="1" ht="13.9">
      <c r="A140" s="28">
        <v>133</v>
      </c>
      <c r="B140" s="28"/>
      <c r="C140" s="47"/>
      <c r="D140" s="44"/>
      <c r="E140" s="41"/>
      <c r="F140" s="42"/>
      <c r="G140" s="44"/>
      <c r="H140" s="40"/>
      <c r="I140" s="41"/>
      <c r="J140" s="2"/>
      <c r="K140" s="42"/>
    </row>
    <row r="141" spans="1:11" s="54" customFormat="1" ht="13.9">
      <c r="A141" s="28">
        <v>134</v>
      </c>
      <c r="B141" s="28"/>
      <c r="C141" s="47"/>
      <c r="D141" s="44"/>
      <c r="E141" s="41"/>
      <c r="F141" s="42"/>
      <c r="G141" s="44"/>
      <c r="H141" s="40"/>
      <c r="I141" s="41"/>
      <c r="J141" s="2"/>
      <c r="K141" s="42"/>
    </row>
    <row r="142" spans="1:11" s="54" customFormat="1" ht="13.9">
      <c r="A142" s="28">
        <v>135</v>
      </c>
      <c r="B142" s="28"/>
      <c r="C142" s="47"/>
      <c r="D142" s="44"/>
      <c r="E142" s="41"/>
      <c r="F142" s="42"/>
      <c r="G142" s="44"/>
      <c r="H142" s="40"/>
      <c r="I142" s="41"/>
      <c r="J142" s="2"/>
      <c r="K142" s="42"/>
    </row>
    <row r="143" spans="1:11" s="54" customFormat="1" ht="13.9">
      <c r="A143" s="28">
        <v>136</v>
      </c>
      <c r="B143" s="28"/>
      <c r="C143" s="47"/>
      <c r="D143" s="44"/>
      <c r="E143" s="41"/>
      <c r="F143" s="42"/>
      <c r="G143" s="44"/>
      <c r="H143" s="40"/>
      <c r="I143" s="41"/>
      <c r="J143" s="2"/>
      <c r="K143" s="42"/>
    </row>
    <row r="144" spans="1:11" s="54" customFormat="1" ht="13.9">
      <c r="A144" s="28">
        <v>137</v>
      </c>
      <c r="B144" s="28"/>
      <c r="C144" s="47"/>
      <c r="D144" s="44"/>
      <c r="E144" s="41"/>
      <c r="F144" s="42"/>
      <c r="G144" s="44"/>
      <c r="H144" s="40"/>
      <c r="I144" s="41"/>
      <c r="J144" s="2"/>
      <c r="K144" s="42"/>
    </row>
    <row r="145" spans="1:11" s="54" customFormat="1" ht="13.9">
      <c r="A145" s="28">
        <v>138</v>
      </c>
      <c r="B145" s="28"/>
      <c r="C145" s="47"/>
      <c r="D145" s="44"/>
      <c r="E145" s="41"/>
      <c r="F145" s="42"/>
      <c r="G145" s="44"/>
      <c r="H145" s="40"/>
      <c r="I145" s="41"/>
      <c r="J145" s="2"/>
      <c r="K145" s="42"/>
    </row>
    <row r="146" spans="1:11" s="54" customFormat="1" ht="13.9">
      <c r="A146" s="28">
        <v>139</v>
      </c>
      <c r="B146" s="28"/>
      <c r="C146" s="47"/>
      <c r="D146" s="44"/>
      <c r="E146" s="41"/>
      <c r="F146" s="42"/>
      <c r="G146" s="44"/>
      <c r="H146" s="40"/>
      <c r="I146" s="41"/>
      <c r="J146" s="2"/>
      <c r="K146" s="42"/>
    </row>
    <row r="147" spans="1:11" s="54" customFormat="1" ht="13.9">
      <c r="A147" s="28">
        <v>140</v>
      </c>
      <c r="B147" s="28"/>
      <c r="C147" s="47"/>
      <c r="D147" s="44"/>
      <c r="E147" s="41"/>
      <c r="F147" s="42"/>
      <c r="G147" s="44"/>
      <c r="H147" s="40"/>
      <c r="I147" s="41"/>
      <c r="J147" s="2"/>
      <c r="K147" s="42"/>
    </row>
    <row r="148" spans="1:11" s="54" customFormat="1" ht="13.9">
      <c r="A148" s="28">
        <v>141</v>
      </c>
      <c r="B148" s="28"/>
      <c r="C148" s="47"/>
      <c r="D148" s="44"/>
      <c r="E148" s="41"/>
      <c r="F148" s="42"/>
      <c r="G148" s="44"/>
      <c r="H148" s="40"/>
      <c r="I148" s="41"/>
      <c r="J148" s="2"/>
      <c r="K148" s="42"/>
    </row>
    <row r="149" spans="1:11" s="54" customFormat="1" ht="13.9">
      <c r="A149" s="28">
        <v>142</v>
      </c>
      <c r="B149" s="28"/>
      <c r="C149" s="47"/>
      <c r="D149" s="44"/>
      <c r="E149" s="41"/>
      <c r="F149" s="42"/>
      <c r="G149" s="44"/>
      <c r="H149" s="40"/>
      <c r="I149" s="41"/>
      <c r="J149" s="2"/>
      <c r="K149" s="42"/>
    </row>
    <row r="150" spans="1:11" s="54" customFormat="1" ht="13.9">
      <c r="A150" s="28">
        <v>143</v>
      </c>
      <c r="B150" s="28"/>
      <c r="C150" s="47"/>
      <c r="D150" s="44"/>
      <c r="E150" s="41"/>
      <c r="F150" s="42"/>
      <c r="G150" s="44"/>
      <c r="H150" s="40"/>
      <c r="I150" s="41"/>
      <c r="J150" s="2"/>
      <c r="K150" s="42"/>
    </row>
    <row r="151" spans="1:11" s="54" customFormat="1" ht="13.9">
      <c r="A151" s="28">
        <v>144</v>
      </c>
      <c r="B151" s="28"/>
      <c r="C151" s="47"/>
      <c r="D151" s="44"/>
      <c r="E151" s="41"/>
      <c r="F151" s="42"/>
      <c r="G151" s="44"/>
      <c r="H151" s="40"/>
      <c r="I151" s="41"/>
      <c r="J151" s="2"/>
      <c r="K151" s="42"/>
    </row>
    <row r="152" spans="1:11" s="54" customFormat="1" ht="13.9">
      <c r="A152" s="28">
        <v>145</v>
      </c>
      <c r="B152" s="28"/>
      <c r="C152" s="47"/>
      <c r="D152" s="44"/>
      <c r="E152" s="41"/>
      <c r="F152" s="42"/>
      <c r="G152" s="44"/>
      <c r="H152" s="40"/>
      <c r="I152" s="41"/>
      <c r="J152" s="2"/>
      <c r="K152" s="42"/>
    </row>
    <row r="153" spans="1:11" s="54" customFormat="1" ht="13.9">
      <c r="A153" s="28">
        <v>146</v>
      </c>
      <c r="B153" s="28"/>
      <c r="C153" s="47"/>
      <c r="D153" s="44"/>
      <c r="E153" s="41"/>
      <c r="F153" s="42"/>
      <c r="G153" s="44"/>
      <c r="H153" s="40"/>
      <c r="I153" s="41"/>
      <c r="J153" s="2"/>
      <c r="K153" s="42"/>
    </row>
    <row r="154" spans="1:11" s="54" customFormat="1" ht="13.9">
      <c r="A154" s="28">
        <v>147</v>
      </c>
      <c r="B154" s="28"/>
      <c r="C154" s="47"/>
      <c r="D154" s="44"/>
      <c r="E154" s="41"/>
      <c r="F154" s="42"/>
      <c r="G154" s="44"/>
      <c r="H154" s="40"/>
      <c r="I154" s="41"/>
      <c r="J154" s="2"/>
      <c r="K154" s="42"/>
    </row>
    <row r="155" spans="1:11" s="54" customFormat="1" ht="13.9">
      <c r="A155" s="28">
        <v>148</v>
      </c>
      <c r="B155" s="28"/>
      <c r="C155" s="47"/>
      <c r="D155" s="44"/>
      <c r="E155" s="41"/>
      <c r="F155" s="42"/>
      <c r="G155" s="44"/>
      <c r="H155" s="40"/>
      <c r="I155" s="41"/>
      <c r="J155" s="2"/>
      <c r="K155" s="42"/>
    </row>
    <row r="156" spans="1:11" s="54" customFormat="1" ht="13.9">
      <c r="A156" s="28">
        <v>149</v>
      </c>
      <c r="B156" s="28"/>
      <c r="C156" s="47"/>
      <c r="D156" s="44"/>
      <c r="E156" s="41"/>
      <c r="F156" s="42"/>
      <c r="G156" s="44"/>
      <c r="H156" s="40"/>
      <c r="I156" s="41"/>
      <c r="J156" s="2"/>
      <c r="K156" s="42"/>
    </row>
    <row r="157" spans="1:11" s="54" customFormat="1" ht="13.9">
      <c r="A157" s="28">
        <v>150</v>
      </c>
      <c r="B157" s="28"/>
      <c r="C157" s="47"/>
      <c r="D157" s="44"/>
      <c r="E157" s="41"/>
      <c r="F157" s="42"/>
      <c r="G157" s="44"/>
      <c r="H157" s="40"/>
      <c r="I157" s="41"/>
      <c r="J157" s="2"/>
      <c r="K157" s="42"/>
    </row>
    <row r="158" spans="1:11" s="54" customFormat="1" ht="13.9">
      <c r="A158" s="28">
        <v>151</v>
      </c>
      <c r="B158" s="28"/>
      <c r="C158" s="47"/>
      <c r="D158" s="44"/>
      <c r="E158" s="41"/>
      <c r="F158" s="42"/>
      <c r="G158" s="44"/>
      <c r="H158" s="40"/>
      <c r="I158" s="41"/>
      <c r="J158" s="2"/>
      <c r="K158" s="42"/>
    </row>
    <row r="159" spans="1:11" s="54" customFormat="1" ht="13.9">
      <c r="A159" s="28">
        <v>152</v>
      </c>
      <c r="B159" s="28"/>
      <c r="C159" s="47"/>
      <c r="D159" s="44"/>
      <c r="E159" s="41"/>
      <c r="F159" s="42"/>
      <c r="G159" s="44"/>
      <c r="H159" s="40"/>
      <c r="I159" s="41"/>
      <c r="J159" s="2"/>
      <c r="K159" s="42"/>
    </row>
    <row r="160" spans="1:11" s="54" customFormat="1" ht="13.9">
      <c r="A160" s="28">
        <v>153</v>
      </c>
      <c r="B160" s="28"/>
      <c r="C160" s="47"/>
      <c r="D160" s="44"/>
      <c r="E160" s="41"/>
      <c r="F160" s="42"/>
      <c r="G160" s="44"/>
      <c r="H160" s="40"/>
      <c r="I160" s="41"/>
      <c r="J160" s="2"/>
      <c r="K160" s="42"/>
    </row>
    <row r="161" spans="1:11" s="54" customFormat="1" ht="13.9">
      <c r="A161" s="28">
        <v>154</v>
      </c>
      <c r="B161" s="28"/>
      <c r="C161" s="47"/>
      <c r="D161" s="44"/>
      <c r="E161" s="41"/>
      <c r="F161" s="42"/>
      <c r="G161" s="44"/>
      <c r="H161" s="40"/>
      <c r="I161" s="41"/>
      <c r="J161" s="2"/>
      <c r="K161" s="42"/>
    </row>
    <row r="162" spans="1:11" s="54" customFormat="1" ht="13.9">
      <c r="A162" s="28">
        <v>155</v>
      </c>
      <c r="B162" s="28"/>
      <c r="C162" s="47"/>
      <c r="D162" s="44"/>
      <c r="E162" s="41"/>
      <c r="F162" s="42"/>
      <c r="G162" s="44"/>
      <c r="H162" s="40"/>
      <c r="I162" s="41"/>
      <c r="J162" s="2"/>
      <c r="K162" s="42"/>
    </row>
    <row r="163" spans="1:11" s="54" customFormat="1" ht="13.9">
      <c r="A163" s="28">
        <v>156</v>
      </c>
      <c r="B163" s="28"/>
      <c r="C163" s="47"/>
      <c r="D163" s="44"/>
      <c r="E163" s="41"/>
      <c r="F163" s="42"/>
      <c r="G163" s="44"/>
      <c r="H163" s="40"/>
      <c r="I163" s="41"/>
      <c r="J163" s="2"/>
      <c r="K163" s="42"/>
    </row>
    <row r="164" spans="1:11" s="54" customFormat="1" ht="13.9">
      <c r="A164" s="28">
        <v>157</v>
      </c>
      <c r="B164" s="28"/>
      <c r="C164" s="47"/>
      <c r="D164" s="44"/>
      <c r="E164" s="41"/>
      <c r="F164" s="42"/>
      <c r="G164" s="44"/>
      <c r="H164" s="40"/>
      <c r="I164" s="41"/>
      <c r="J164" s="2"/>
      <c r="K164" s="42"/>
    </row>
    <row r="165" spans="1:11" s="54" customFormat="1" ht="13.9">
      <c r="A165" s="28">
        <v>158</v>
      </c>
      <c r="B165" s="28"/>
      <c r="C165" s="47"/>
      <c r="D165" s="44"/>
      <c r="E165" s="41"/>
      <c r="F165" s="48"/>
      <c r="G165" s="44"/>
      <c r="H165" s="40"/>
      <c r="I165" s="41"/>
      <c r="J165" s="2"/>
      <c r="K165" s="42"/>
    </row>
    <row r="166" spans="1:11" s="54" customFormat="1" ht="13.9">
      <c r="A166" s="28">
        <v>159</v>
      </c>
      <c r="B166" s="28"/>
      <c r="C166" s="47"/>
      <c r="D166" s="44"/>
      <c r="E166" s="41"/>
      <c r="F166" s="42"/>
      <c r="G166" s="44"/>
      <c r="H166" s="40"/>
      <c r="I166" s="41"/>
      <c r="J166" s="2"/>
      <c r="K166" s="42"/>
    </row>
    <row r="167" spans="1:11" s="54" customFormat="1" ht="13.9">
      <c r="A167" s="28">
        <v>160</v>
      </c>
      <c r="B167" s="28"/>
      <c r="C167" s="47"/>
      <c r="D167" s="44"/>
      <c r="E167" s="41"/>
      <c r="F167" s="42"/>
      <c r="G167" s="44"/>
      <c r="H167" s="40"/>
      <c r="I167" s="41"/>
      <c r="J167" s="2"/>
      <c r="K167" s="42"/>
    </row>
    <row r="168" spans="1:11" s="54" customFormat="1" ht="13.9">
      <c r="A168" s="28">
        <v>161</v>
      </c>
      <c r="B168" s="28"/>
      <c r="C168" s="47"/>
      <c r="D168" s="44"/>
      <c r="E168" s="41"/>
      <c r="F168" s="42"/>
      <c r="G168" s="44"/>
      <c r="H168" s="40"/>
      <c r="I168" s="41"/>
      <c r="J168" s="2"/>
      <c r="K168" s="42"/>
    </row>
    <row r="169" spans="1:11" s="54" customFormat="1" ht="13.9">
      <c r="A169" s="28">
        <v>162</v>
      </c>
      <c r="B169" s="28"/>
      <c r="C169" s="47"/>
      <c r="D169" s="44"/>
      <c r="E169" s="41"/>
      <c r="F169" s="42"/>
      <c r="G169" s="44"/>
      <c r="H169" s="40"/>
      <c r="I169" s="41"/>
      <c r="J169" s="2"/>
      <c r="K169" s="42"/>
    </row>
    <row r="170" spans="1:11" s="54" customFormat="1" ht="13.9">
      <c r="A170" s="28">
        <v>163</v>
      </c>
      <c r="B170" s="28"/>
      <c r="C170" s="47"/>
      <c r="D170" s="44"/>
      <c r="E170" s="41"/>
      <c r="F170" s="42"/>
      <c r="G170" s="44"/>
      <c r="H170" s="40"/>
      <c r="I170" s="41"/>
      <c r="J170" s="2"/>
      <c r="K170" s="42"/>
    </row>
    <row r="171" spans="1:11" s="54" customFormat="1" ht="13.9">
      <c r="A171" s="28">
        <v>164</v>
      </c>
      <c r="B171" s="28"/>
      <c r="C171" s="47"/>
      <c r="D171" s="44"/>
      <c r="E171" s="41"/>
      <c r="F171" s="42"/>
      <c r="G171" s="44"/>
      <c r="H171" s="40"/>
      <c r="I171" s="41"/>
      <c r="J171" s="2"/>
      <c r="K171" s="42"/>
    </row>
    <row r="172" spans="1:11" s="54" customFormat="1" ht="13.9">
      <c r="A172" s="28">
        <v>165</v>
      </c>
      <c r="B172" s="28"/>
      <c r="C172" s="47"/>
      <c r="D172" s="44"/>
      <c r="E172" s="41"/>
      <c r="F172" s="42"/>
      <c r="G172" s="44"/>
      <c r="H172" s="40"/>
      <c r="I172" s="41"/>
      <c r="J172" s="2"/>
      <c r="K172" s="42"/>
    </row>
    <row r="173" spans="1:11" s="54" customFormat="1" ht="13.9">
      <c r="A173" s="28">
        <v>166</v>
      </c>
      <c r="B173" s="28"/>
      <c r="C173" s="47"/>
      <c r="D173" s="44"/>
      <c r="E173" s="41"/>
      <c r="F173" s="42"/>
      <c r="G173" s="44"/>
      <c r="H173" s="40"/>
      <c r="I173" s="41"/>
      <c r="J173" s="2"/>
      <c r="K173" s="42"/>
    </row>
    <row r="174" spans="1:11" s="54" customFormat="1" ht="13.9">
      <c r="A174" s="28">
        <v>167</v>
      </c>
      <c r="B174" s="28"/>
      <c r="C174" s="47"/>
      <c r="D174" s="44"/>
      <c r="E174" s="41"/>
      <c r="F174" s="42"/>
      <c r="G174" s="44"/>
      <c r="H174" s="40"/>
      <c r="I174" s="41"/>
      <c r="J174" s="2"/>
      <c r="K174" s="42"/>
    </row>
    <row r="175" spans="1:11" s="54" customFormat="1" ht="13.9">
      <c r="A175" s="28">
        <v>168</v>
      </c>
      <c r="B175" s="28"/>
      <c r="C175" s="47"/>
      <c r="D175" s="44"/>
      <c r="E175" s="41"/>
      <c r="F175" s="42"/>
      <c r="G175" s="44"/>
      <c r="H175" s="40"/>
      <c r="I175" s="41"/>
      <c r="J175" s="2"/>
      <c r="K175" s="42"/>
    </row>
    <row r="176" spans="1:11" s="54" customFormat="1" ht="13.9">
      <c r="A176" s="28">
        <v>169</v>
      </c>
      <c r="B176" s="28"/>
      <c r="C176" s="47"/>
      <c r="D176" s="44"/>
      <c r="E176" s="41"/>
      <c r="F176" s="42"/>
      <c r="G176" s="44"/>
      <c r="H176" s="40"/>
      <c r="I176" s="41"/>
      <c r="J176" s="2"/>
      <c r="K176" s="49"/>
    </row>
    <row r="177" spans="1:11" s="54" customFormat="1" ht="13.9">
      <c r="A177" s="28">
        <v>170</v>
      </c>
      <c r="B177" s="28"/>
      <c r="C177" s="47"/>
      <c r="D177" s="44"/>
      <c r="E177" s="41"/>
      <c r="F177" s="42"/>
      <c r="G177" s="44"/>
      <c r="H177" s="40"/>
      <c r="I177" s="41"/>
      <c r="J177" s="2"/>
      <c r="K177" s="42"/>
    </row>
    <row r="178" spans="1:11" s="54" customFormat="1" ht="13.9">
      <c r="A178" s="28">
        <v>171</v>
      </c>
      <c r="B178" s="28"/>
      <c r="C178" s="47"/>
      <c r="D178" s="44"/>
      <c r="E178" s="41"/>
      <c r="F178" s="42"/>
      <c r="G178" s="44"/>
      <c r="H178" s="40"/>
      <c r="I178" s="41"/>
      <c r="J178" s="2"/>
      <c r="K178" s="42"/>
    </row>
    <row r="179" spans="1:11" s="54" customFormat="1" ht="13.9">
      <c r="A179" s="28">
        <v>172</v>
      </c>
      <c r="B179" s="28"/>
      <c r="C179" s="47"/>
      <c r="D179" s="44"/>
      <c r="E179" s="41"/>
      <c r="F179" s="42"/>
      <c r="G179" s="44"/>
      <c r="H179" s="40"/>
      <c r="I179" s="41"/>
      <c r="J179" s="2"/>
      <c r="K179" s="49"/>
    </row>
    <row r="180" spans="1:11" s="54" customFormat="1" ht="13.9">
      <c r="A180" s="28">
        <v>173</v>
      </c>
      <c r="B180" s="28"/>
      <c r="C180" s="47"/>
      <c r="D180" s="44"/>
      <c r="E180" s="41"/>
      <c r="F180" s="42"/>
      <c r="G180" s="44"/>
      <c r="H180" s="40"/>
      <c r="I180" s="41"/>
      <c r="J180" s="2"/>
      <c r="K180" s="42"/>
    </row>
    <row r="181" spans="1:11" s="54" customFormat="1" ht="13.9">
      <c r="A181" s="28">
        <v>174</v>
      </c>
      <c r="B181" s="28"/>
      <c r="C181" s="47"/>
      <c r="D181" s="44"/>
      <c r="E181" s="41"/>
      <c r="F181" s="42"/>
      <c r="G181" s="44"/>
      <c r="H181" s="40"/>
      <c r="I181" s="41"/>
      <c r="J181" s="2"/>
      <c r="K181" s="42"/>
    </row>
    <row r="182" spans="1:11" s="54" customFormat="1" ht="13.9">
      <c r="A182" s="28">
        <v>175</v>
      </c>
      <c r="B182" s="28"/>
      <c r="C182" s="47"/>
      <c r="D182" s="44"/>
      <c r="E182" s="41"/>
      <c r="F182" s="42"/>
      <c r="G182" s="44"/>
      <c r="H182" s="40"/>
      <c r="I182" s="41"/>
      <c r="J182" s="2"/>
      <c r="K182" s="42"/>
    </row>
    <row r="183" spans="1:11" s="54" customFormat="1" ht="13.9">
      <c r="A183" s="28">
        <v>176</v>
      </c>
      <c r="B183" s="28"/>
      <c r="C183" s="47"/>
      <c r="D183" s="44"/>
      <c r="E183" s="41"/>
      <c r="F183" s="42"/>
      <c r="G183" s="44"/>
      <c r="H183" s="40"/>
      <c r="I183" s="41"/>
      <c r="J183" s="2"/>
      <c r="K183" s="42"/>
    </row>
    <row r="184" spans="1:11" s="54" customFormat="1" ht="13.9">
      <c r="A184" s="28">
        <v>177</v>
      </c>
      <c r="B184" s="28"/>
      <c r="C184" s="47"/>
      <c r="D184" s="44"/>
      <c r="E184" s="41"/>
      <c r="F184" s="42"/>
      <c r="G184" s="44"/>
      <c r="H184" s="40"/>
      <c r="I184" s="41"/>
      <c r="J184" s="2"/>
      <c r="K184" s="42"/>
    </row>
    <row r="185" spans="1:11" s="54" customFormat="1" ht="13.9">
      <c r="A185" s="28">
        <v>178</v>
      </c>
      <c r="B185" s="28"/>
      <c r="C185" s="47"/>
      <c r="D185" s="44"/>
      <c r="E185" s="41"/>
      <c r="F185" s="42"/>
      <c r="G185" s="44"/>
      <c r="H185" s="40"/>
      <c r="I185" s="41"/>
      <c r="J185" s="2"/>
      <c r="K185" s="42"/>
    </row>
    <row r="186" spans="1:11" s="54" customFormat="1" ht="13.9">
      <c r="A186" s="28">
        <v>179</v>
      </c>
      <c r="B186" s="28"/>
      <c r="C186" s="47"/>
      <c r="D186" s="44"/>
      <c r="E186" s="41"/>
      <c r="F186" s="42"/>
      <c r="G186" s="44"/>
      <c r="H186" s="40"/>
      <c r="I186" s="41"/>
      <c r="J186" s="2"/>
      <c r="K186" s="42"/>
    </row>
    <row r="187" spans="1:11" s="54" customFormat="1" ht="13.9">
      <c r="A187" s="28">
        <v>180</v>
      </c>
      <c r="B187" s="28"/>
      <c r="C187" s="47"/>
      <c r="D187" s="44"/>
      <c r="E187" s="41"/>
      <c r="F187" s="42"/>
      <c r="G187" s="44"/>
      <c r="H187" s="40"/>
      <c r="I187" s="41"/>
      <c r="J187" s="2"/>
      <c r="K187" s="42"/>
    </row>
    <row r="188" spans="1:11" s="54" customFormat="1" ht="13.9">
      <c r="A188" s="28">
        <v>181</v>
      </c>
      <c r="B188" s="28"/>
      <c r="C188" s="47"/>
      <c r="D188" s="44"/>
      <c r="E188" s="41"/>
      <c r="F188" s="42"/>
      <c r="G188" s="44"/>
      <c r="H188" s="40"/>
      <c r="I188" s="41"/>
      <c r="J188" s="2"/>
      <c r="K188" s="42"/>
    </row>
    <row r="189" spans="1:11" s="54" customFormat="1" ht="13.9">
      <c r="A189" s="28">
        <v>182</v>
      </c>
      <c r="B189" s="28"/>
      <c r="C189" s="47"/>
      <c r="D189" s="44"/>
      <c r="E189" s="41"/>
      <c r="F189" s="42"/>
      <c r="G189" s="44"/>
      <c r="H189" s="40"/>
      <c r="I189" s="41"/>
      <c r="J189" s="2"/>
      <c r="K189" s="42"/>
    </row>
    <row r="190" spans="1:11" s="54" customFormat="1" ht="13.9">
      <c r="A190" s="28">
        <v>183</v>
      </c>
      <c r="B190" s="28"/>
      <c r="C190" s="47"/>
      <c r="D190" s="44"/>
      <c r="E190" s="41"/>
      <c r="F190" s="42"/>
      <c r="G190" s="44"/>
      <c r="H190" s="40"/>
      <c r="I190" s="41"/>
      <c r="J190" s="2"/>
      <c r="K190" s="42"/>
    </row>
    <row r="191" spans="1:11" s="54" customFormat="1" ht="13.9">
      <c r="A191" s="28">
        <v>184</v>
      </c>
      <c r="B191" s="28"/>
      <c r="C191" s="47"/>
      <c r="D191" s="44"/>
      <c r="E191" s="41"/>
      <c r="F191" s="42"/>
      <c r="G191" s="44"/>
      <c r="H191" s="40"/>
      <c r="I191" s="41"/>
      <c r="J191" s="2"/>
      <c r="K191" s="42"/>
    </row>
    <row r="192" spans="1:11" s="54" customFormat="1" ht="13.9">
      <c r="A192" s="28">
        <v>185</v>
      </c>
      <c r="B192" s="28"/>
      <c r="C192" s="47"/>
      <c r="D192" s="44"/>
      <c r="E192" s="41"/>
      <c r="F192" s="42"/>
      <c r="G192" s="44"/>
      <c r="H192" s="40"/>
      <c r="I192" s="41"/>
      <c r="J192" s="2"/>
      <c r="K192" s="42"/>
    </row>
    <row r="193" spans="1:11" s="54" customFormat="1" ht="13.9">
      <c r="A193" s="28">
        <v>186</v>
      </c>
      <c r="B193" s="28"/>
      <c r="C193" s="47"/>
      <c r="D193" s="44"/>
      <c r="E193" s="41"/>
      <c r="F193" s="42"/>
      <c r="G193" s="44"/>
      <c r="H193" s="40"/>
      <c r="I193" s="41"/>
      <c r="J193" s="2"/>
      <c r="K193" s="42"/>
    </row>
    <row r="194" spans="1:11" s="54" customFormat="1" ht="13.9">
      <c r="A194" s="28">
        <v>187</v>
      </c>
      <c r="B194" s="28"/>
      <c r="C194" s="47"/>
      <c r="D194" s="44"/>
      <c r="E194" s="41"/>
      <c r="F194" s="42"/>
      <c r="G194" s="44"/>
      <c r="H194" s="40"/>
      <c r="I194" s="41"/>
      <c r="J194" s="2"/>
      <c r="K194" s="42"/>
    </row>
    <row r="195" spans="1:11" s="54" customFormat="1" ht="13.9">
      <c r="A195" s="28">
        <v>188</v>
      </c>
      <c r="B195" s="28"/>
      <c r="C195" s="47"/>
      <c r="D195" s="44"/>
      <c r="E195" s="41"/>
      <c r="F195" s="42"/>
      <c r="G195" s="44"/>
      <c r="H195" s="40"/>
      <c r="I195" s="41"/>
      <c r="J195" s="2"/>
      <c r="K195" s="42"/>
    </row>
    <row r="196" spans="1:11" s="54" customFormat="1" ht="13.9">
      <c r="A196" s="28">
        <v>189</v>
      </c>
      <c r="B196" s="28"/>
      <c r="C196" s="47"/>
      <c r="D196" s="44"/>
      <c r="E196" s="41"/>
      <c r="F196" s="42"/>
      <c r="G196" s="44"/>
      <c r="H196" s="40"/>
      <c r="I196" s="41"/>
      <c r="J196" s="2"/>
      <c r="K196" s="42"/>
    </row>
    <row r="197" spans="1:11" s="54" customFormat="1" ht="13.9">
      <c r="A197" s="28">
        <v>190</v>
      </c>
      <c r="B197" s="28"/>
      <c r="C197" s="47"/>
      <c r="D197" s="44"/>
      <c r="E197" s="41"/>
      <c r="F197" s="42"/>
      <c r="G197" s="44"/>
      <c r="H197" s="40"/>
      <c r="I197" s="41"/>
      <c r="J197" s="2"/>
      <c r="K197" s="42"/>
    </row>
    <row r="198" spans="1:11" s="54" customFormat="1" ht="13.9">
      <c r="A198" s="28">
        <v>191</v>
      </c>
      <c r="B198" s="28"/>
      <c r="C198" s="47"/>
      <c r="D198" s="44"/>
      <c r="E198" s="41"/>
      <c r="F198" s="42"/>
      <c r="G198" s="44"/>
      <c r="H198" s="40"/>
      <c r="I198" s="41"/>
      <c r="J198" s="2"/>
      <c r="K198" s="42"/>
    </row>
    <row r="199" spans="1:11" s="54" customFormat="1" ht="13.9">
      <c r="A199" s="28">
        <v>192</v>
      </c>
      <c r="B199" s="28"/>
      <c r="C199" s="47"/>
      <c r="D199" s="44"/>
      <c r="E199" s="41"/>
      <c r="F199" s="42"/>
      <c r="G199" s="44"/>
      <c r="H199" s="40"/>
      <c r="I199" s="41"/>
      <c r="J199" s="2"/>
      <c r="K199" s="42"/>
    </row>
    <row r="200" spans="1:11" s="54" customFormat="1" ht="13.9">
      <c r="A200" s="28">
        <v>193</v>
      </c>
      <c r="B200" s="28"/>
      <c r="C200" s="47"/>
      <c r="D200" s="44"/>
      <c r="E200" s="41"/>
      <c r="F200" s="42"/>
      <c r="G200" s="44"/>
      <c r="H200" s="40"/>
      <c r="I200" s="41"/>
      <c r="J200" s="2"/>
      <c r="K200" s="42"/>
    </row>
    <row r="201" spans="1:11" s="54" customFormat="1" ht="13.9">
      <c r="A201" s="28">
        <v>194</v>
      </c>
      <c r="B201" s="28"/>
      <c r="C201" s="47"/>
      <c r="D201" s="44"/>
      <c r="E201" s="41"/>
      <c r="F201" s="42"/>
      <c r="G201" s="44"/>
      <c r="H201" s="40"/>
      <c r="I201" s="41"/>
      <c r="J201" s="2"/>
      <c r="K201" s="42"/>
    </row>
    <row r="202" spans="1:11" s="54" customFormat="1" ht="13.9">
      <c r="A202" s="28">
        <v>195</v>
      </c>
      <c r="B202" s="28"/>
      <c r="C202" s="47"/>
      <c r="D202" s="44"/>
      <c r="E202" s="41"/>
      <c r="F202" s="42"/>
      <c r="G202" s="44"/>
      <c r="H202" s="40"/>
      <c r="I202" s="41"/>
      <c r="J202" s="2"/>
      <c r="K202" s="42"/>
    </row>
    <row r="203" spans="1:11" s="54" customFormat="1" ht="13.9">
      <c r="A203" s="28">
        <v>196</v>
      </c>
      <c r="B203" s="28"/>
      <c r="C203" s="47"/>
      <c r="D203" s="44"/>
      <c r="E203" s="41"/>
      <c r="F203" s="42"/>
      <c r="G203" s="44"/>
      <c r="H203" s="40"/>
      <c r="I203" s="41"/>
      <c r="J203" s="2"/>
      <c r="K203" s="42"/>
    </row>
    <row r="204" spans="1:11" s="54" customFormat="1" ht="13.9">
      <c r="A204" s="28">
        <v>197</v>
      </c>
      <c r="B204" s="28"/>
      <c r="C204" s="47"/>
      <c r="D204" s="44"/>
      <c r="E204" s="41"/>
      <c r="F204" s="42"/>
      <c r="G204" s="44"/>
      <c r="H204" s="40"/>
      <c r="I204" s="41"/>
      <c r="J204" s="2"/>
      <c r="K204" s="42"/>
    </row>
    <row r="205" spans="1:11" s="54" customFormat="1" ht="13.9">
      <c r="A205" s="28">
        <v>198</v>
      </c>
      <c r="B205" s="28"/>
      <c r="C205" s="47"/>
      <c r="D205" s="44"/>
      <c r="E205" s="41"/>
      <c r="F205" s="42"/>
      <c r="G205" s="44"/>
      <c r="H205" s="40"/>
      <c r="I205" s="41"/>
      <c r="J205" s="2"/>
      <c r="K205" s="42"/>
    </row>
    <row r="206" spans="1:11" s="54" customFormat="1" ht="13.9">
      <c r="A206" s="28">
        <v>199</v>
      </c>
      <c r="B206" s="28"/>
      <c r="C206" s="47"/>
      <c r="D206" s="44"/>
      <c r="E206" s="41"/>
      <c r="F206" s="42"/>
      <c r="G206" s="44"/>
      <c r="H206" s="40"/>
      <c r="I206" s="41"/>
      <c r="J206" s="2"/>
      <c r="K206" s="42"/>
    </row>
    <row r="207" spans="1:11" s="54" customFormat="1" ht="13.9">
      <c r="A207" s="28">
        <v>200</v>
      </c>
      <c r="B207" s="28"/>
      <c r="C207" s="47"/>
      <c r="D207" s="44"/>
      <c r="E207" s="41"/>
      <c r="F207" s="42"/>
      <c r="G207" s="44"/>
      <c r="H207" s="40"/>
      <c r="I207" s="41"/>
      <c r="J207" s="2"/>
      <c r="K207" s="42"/>
    </row>
    <row r="208" spans="1:11">
      <c r="A208" s="59"/>
      <c r="B208" s="59"/>
      <c r="C208" s="60"/>
      <c r="D208" s="61"/>
      <c r="E208" s="62"/>
      <c r="F208" s="63"/>
      <c r="G208" s="61"/>
      <c r="H208" s="64"/>
      <c r="I208" s="62"/>
      <c r="J208" s="65"/>
      <c r="K208" s="66"/>
    </row>
  </sheetData>
  <autoFilter ref="A7:K7" xr:uid="{8DA186A2-004A-4C45-B495-D53843B41837}"/>
  <conditionalFormatting sqref="E8:E207">
    <cfRule type="containsText" dxfId="40" priority="117" operator="containsText" text="Low">
      <formula>NOT(ISERROR(SEARCH("Low",E8)))</formula>
    </cfRule>
    <cfRule type="containsText" dxfId="39" priority="115" operator="containsText" text="Medium">
      <formula>NOT(ISERROR(SEARCH("Medium",E8)))</formula>
    </cfRule>
    <cfRule type="containsText" dxfId="38" priority="116" operator="containsText" text="High">
      <formula>NOT(ISERROR(SEARCH("High",E8)))</formula>
    </cfRule>
  </conditionalFormatting>
  <conditionalFormatting sqref="I8:I35">
    <cfRule type="containsText" dxfId="37" priority="17" operator="containsText" text="On Hold">
      <formula>NOT(ISERROR(SEARCH("On Hold",I8)))</formula>
    </cfRule>
    <cfRule type="containsText" dxfId="36" priority="18" operator="containsText" text="Complete">
      <formula>NOT(ISERROR(SEARCH("Complete",I8)))</formula>
    </cfRule>
    <cfRule type="cellIs" dxfId="35" priority="19" stopIfTrue="1" operator="equal">
      <formula>"Open"</formula>
    </cfRule>
    <cfRule type="cellIs" dxfId="34" priority="20" stopIfTrue="1" operator="equal">
      <formula>"Closed"</formula>
    </cfRule>
    <cfRule type="expression" dxfId="33" priority="21" stopIfTrue="1">
      <formula>OR(EXACT(I8,"Monitor"),EXACT(I8,"Test"))</formula>
    </cfRule>
  </conditionalFormatting>
  <conditionalFormatting sqref="I25">
    <cfRule type="cellIs" dxfId="32" priority="6" stopIfTrue="1" operator="equal">
      <formula>"Open"</formula>
    </cfRule>
    <cfRule type="cellIs" dxfId="31" priority="7" stopIfTrue="1" operator="equal">
      <formula>"Closed"</formula>
    </cfRule>
    <cfRule type="expression" dxfId="30" priority="8" stopIfTrue="1">
      <formula>OR(EXACT(I25,"Monitor"),EXACT(I25,"Test"))</formula>
    </cfRule>
  </conditionalFormatting>
  <conditionalFormatting sqref="I30">
    <cfRule type="cellIs" dxfId="29" priority="15" stopIfTrue="1" operator="equal">
      <formula>"Closed"</formula>
    </cfRule>
    <cfRule type="cellIs" dxfId="28" priority="14" stopIfTrue="1" operator="equal">
      <formula>"Open"</formula>
    </cfRule>
    <cfRule type="expression" dxfId="27" priority="16" stopIfTrue="1">
      <formula>OR(EXACT(I30,"Monitor"),EXACT(I30,"Test"))</formula>
    </cfRule>
  </conditionalFormatting>
  <conditionalFormatting sqref="I36:I207">
    <cfRule type="cellIs" dxfId="26" priority="3" stopIfTrue="1" operator="equal">
      <formula>"Open"</formula>
    </cfRule>
    <cfRule type="cellIs" dxfId="25" priority="4" stopIfTrue="1" operator="equal">
      <formula>"Closed"</formula>
    </cfRule>
    <cfRule type="expression" dxfId="24" priority="5" stopIfTrue="1">
      <formula>OR(EXACT(I36,"Monitor"),EXACT(I36,"Test"))</formula>
    </cfRule>
  </conditionalFormatting>
  <conditionalFormatting sqref="I36:I1048576">
    <cfRule type="containsText" dxfId="23" priority="2" operator="containsText" text="Complete">
      <formula>NOT(ISERROR(SEARCH("Complete",I36)))</formula>
    </cfRule>
    <cfRule type="containsText" dxfId="22" priority="1" operator="containsText" text="On Hold">
      <formula>NOT(ISERROR(SEARCH("On Hold",I36)))</formula>
    </cfRule>
  </conditionalFormatting>
  <printOptions horizontalCentered="1" verticalCentered="1"/>
  <pageMargins left="0.25" right="0.25" top="0.25" bottom="0.25" header="0.2" footer="0.2"/>
  <pageSetup scale="69" fitToHeight="4" orientation="landscape" r:id="rId1"/>
  <headerFooter alignWithMargins="0">
    <oddHeader xml:space="preserve">&amp;C&amp;14Issues List </oddHeader>
    <oddFooter>&amp;LIssues List Template&amp;C&amp;P of &amp;N</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95984CF6-C387-4972-ADD4-09D6A4B7E43A}">
          <x14:formula1>
            <xm:f>Lookup!$E$2:$E$4</xm:f>
          </x14:formula1>
          <xm:sqref>E8:E207</xm:sqref>
        </x14:dataValidation>
        <x14:dataValidation type="list" allowBlank="1" showInputMessage="1" showErrorMessage="1" xr:uid="{7D65BF44-D6B2-4F44-A683-9AE3AC5C3670}">
          <x14:formula1>
            <xm:f>Lookup!$B$2:$B$7</xm:f>
          </x14:formula1>
          <xm:sqref>I8:I207</xm:sqref>
        </x14:dataValidation>
        <x14:dataValidation type="list" allowBlank="1" showInputMessage="1" showErrorMessage="1" xr:uid="{32F642BE-10D3-4DC7-8538-1316533B0CE0}">
          <x14:formula1>
            <xm:f>Lookup!$A$2:$A$40</xm:f>
          </x14:formula1>
          <xm:sqref>G8:G207 D8:D207</xm:sqref>
        </x14:dataValidation>
        <x14:dataValidation type="list" allowBlank="1" showInputMessage="1" showErrorMessage="1" xr:uid="{6703461C-1CF1-490D-91B0-129A554602A6}">
          <x14:formula1>
            <xm:f>Lookup!$F$2:$F$15</xm:f>
          </x14:formula1>
          <xm:sqref>B8:B207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3EBBB-A772-44AF-A53C-CBA07EABB53A}">
  <dimension ref="A1:K208"/>
  <sheetViews>
    <sheetView showGridLines="0" zoomScale="90" zoomScaleNormal="90" workbookViewId="0">
      <pane ySplit="7" topLeftCell="A8" activePane="bottomLeft" state="frozen"/>
      <selection pane="bottomLeft" activeCell="D4" sqref="D4"/>
      <selection activeCell="D7" sqref="D7"/>
    </sheetView>
  </sheetViews>
  <sheetFormatPr defaultRowHeight="10.15"/>
  <cols>
    <col min="1" max="1" width="7.42578125" style="67" customWidth="1"/>
    <col min="2" max="2" width="11.85546875" style="67" customWidth="1"/>
    <col min="3" max="3" width="12.42578125" style="68" bestFit="1" customWidth="1"/>
    <col min="4" max="4" width="13.5703125" style="69" customWidth="1"/>
    <col min="5" max="5" width="10.5703125" style="54" bestFit="1" customWidth="1"/>
    <col min="6" max="6" width="43.5703125" style="70" customWidth="1"/>
    <col min="7" max="7" width="13" style="69" customWidth="1"/>
    <col min="8" max="8" width="13.85546875" style="71" customWidth="1"/>
    <col min="9" max="9" width="12" style="54" customWidth="1"/>
    <col min="10" max="10" width="13.42578125" style="52" customWidth="1"/>
    <col min="11" max="11" width="28.7109375" style="70" customWidth="1"/>
    <col min="12" max="245" width="9.140625" style="52"/>
    <col min="246" max="246" width="5.5703125" style="52" customWidth="1"/>
    <col min="247" max="247" width="7.85546875" style="52" customWidth="1"/>
    <col min="248" max="248" width="6.42578125" style="52" customWidth="1"/>
    <col min="249" max="249" width="5.85546875" style="52" customWidth="1"/>
    <col min="250" max="250" width="6.28515625" style="52" customWidth="1"/>
    <col min="251" max="251" width="6.5703125" style="52" customWidth="1"/>
    <col min="252" max="252" width="7.140625" style="52" customWidth="1"/>
    <col min="253" max="253" width="43.5703125" style="52" customWidth="1"/>
    <col min="254" max="254" width="28.7109375" style="52" customWidth="1"/>
    <col min="255" max="255" width="13.5703125" style="52" customWidth="1"/>
    <col min="256" max="256" width="13" style="52" customWidth="1"/>
    <col min="257" max="257" width="13.85546875" style="52" customWidth="1"/>
    <col min="258" max="258" width="7.140625" style="52" customWidth="1"/>
    <col min="259" max="259" width="9" style="52" customWidth="1"/>
    <col min="260" max="260" width="22.5703125" style="52" bestFit="1" customWidth="1"/>
    <col min="261" max="261" width="7.140625" style="52" bestFit="1" customWidth="1"/>
    <col min="262" max="501" width="9.140625" style="52"/>
    <col min="502" max="502" width="5.5703125" style="52" customWidth="1"/>
    <col min="503" max="503" width="7.85546875" style="52" customWidth="1"/>
    <col min="504" max="504" width="6.42578125" style="52" customWidth="1"/>
    <col min="505" max="505" width="5.85546875" style="52" customWidth="1"/>
    <col min="506" max="506" width="6.28515625" style="52" customWidth="1"/>
    <col min="507" max="507" width="6.5703125" style="52" customWidth="1"/>
    <col min="508" max="508" width="7.140625" style="52" customWidth="1"/>
    <col min="509" max="509" width="43.5703125" style="52" customWidth="1"/>
    <col min="510" max="510" width="28.7109375" style="52" customWidth="1"/>
    <col min="511" max="511" width="13.5703125" style="52" customWidth="1"/>
    <col min="512" max="512" width="13" style="52" customWidth="1"/>
    <col min="513" max="513" width="13.85546875" style="52" customWidth="1"/>
    <col min="514" max="514" width="7.140625" style="52" customWidth="1"/>
    <col min="515" max="515" width="9" style="52" customWidth="1"/>
    <col min="516" max="516" width="22.5703125" style="52" bestFit="1" customWidth="1"/>
    <col min="517" max="517" width="7.140625" style="52" bestFit="1" customWidth="1"/>
    <col min="518" max="757" width="9.140625" style="52"/>
    <col min="758" max="758" width="5.5703125" style="52" customWidth="1"/>
    <col min="759" max="759" width="7.85546875" style="52" customWidth="1"/>
    <col min="760" max="760" width="6.42578125" style="52" customWidth="1"/>
    <col min="761" max="761" width="5.85546875" style="52" customWidth="1"/>
    <col min="762" max="762" width="6.28515625" style="52" customWidth="1"/>
    <col min="763" max="763" width="6.5703125" style="52" customWidth="1"/>
    <col min="764" max="764" width="7.140625" style="52" customWidth="1"/>
    <col min="765" max="765" width="43.5703125" style="52" customWidth="1"/>
    <col min="766" max="766" width="28.7109375" style="52" customWidth="1"/>
    <col min="767" max="767" width="13.5703125" style="52" customWidth="1"/>
    <col min="768" max="768" width="13" style="52" customWidth="1"/>
    <col min="769" max="769" width="13.85546875" style="52" customWidth="1"/>
    <col min="770" max="770" width="7.140625" style="52" customWidth="1"/>
    <col min="771" max="771" width="9" style="52" customWidth="1"/>
    <col min="772" max="772" width="22.5703125" style="52" bestFit="1" customWidth="1"/>
    <col min="773" max="773" width="7.140625" style="52" bestFit="1" customWidth="1"/>
    <col min="774" max="1013" width="9.140625" style="52"/>
    <col min="1014" max="1014" width="5.5703125" style="52" customWidth="1"/>
    <col min="1015" max="1015" width="7.85546875" style="52" customWidth="1"/>
    <col min="1016" max="1016" width="6.42578125" style="52" customWidth="1"/>
    <col min="1017" max="1017" width="5.85546875" style="52" customWidth="1"/>
    <col min="1018" max="1018" width="6.28515625" style="52" customWidth="1"/>
    <col min="1019" max="1019" width="6.5703125" style="52" customWidth="1"/>
    <col min="1020" max="1020" width="7.140625" style="52" customWidth="1"/>
    <col min="1021" max="1021" width="43.5703125" style="52" customWidth="1"/>
    <col min="1022" max="1022" width="28.7109375" style="52" customWidth="1"/>
    <col min="1023" max="1023" width="13.5703125" style="52" customWidth="1"/>
    <col min="1024" max="1024" width="13" style="52" customWidth="1"/>
    <col min="1025" max="1025" width="13.85546875" style="52" customWidth="1"/>
    <col min="1026" max="1026" width="7.140625" style="52" customWidth="1"/>
    <col min="1027" max="1027" width="9" style="52" customWidth="1"/>
    <col min="1028" max="1028" width="22.5703125" style="52" bestFit="1" customWidth="1"/>
    <col min="1029" max="1029" width="7.140625" style="52" bestFit="1" customWidth="1"/>
    <col min="1030" max="1269" width="9.140625" style="52"/>
    <col min="1270" max="1270" width="5.5703125" style="52" customWidth="1"/>
    <col min="1271" max="1271" width="7.85546875" style="52" customWidth="1"/>
    <col min="1272" max="1272" width="6.42578125" style="52" customWidth="1"/>
    <col min="1273" max="1273" width="5.85546875" style="52" customWidth="1"/>
    <col min="1274" max="1274" width="6.28515625" style="52" customWidth="1"/>
    <col min="1275" max="1275" width="6.5703125" style="52" customWidth="1"/>
    <col min="1276" max="1276" width="7.140625" style="52" customWidth="1"/>
    <col min="1277" max="1277" width="43.5703125" style="52" customWidth="1"/>
    <col min="1278" max="1278" width="28.7109375" style="52" customWidth="1"/>
    <col min="1279" max="1279" width="13.5703125" style="52" customWidth="1"/>
    <col min="1280" max="1280" width="13" style="52" customWidth="1"/>
    <col min="1281" max="1281" width="13.85546875" style="52" customWidth="1"/>
    <col min="1282" max="1282" width="7.140625" style="52" customWidth="1"/>
    <col min="1283" max="1283" width="9" style="52" customWidth="1"/>
    <col min="1284" max="1284" width="22.5703125" style="52" bestFit="1" customWidth="1"/>
    <col min="1285" max="1285" width="7.140625" style="52" bestFit="1" customWidth="1"/>
    <col min="1286" max="1525" width="9.140625" style="52"/>
    <col min="1526" max="1526" width="5.5703125" style="52" customWidth="1"/>
    <col min="1527" max="1527" width="7.85546875" style="52" customWidth="1"/>
    <col min="1528" max="1528" width="6.42578125" style="52" customWidth="1"/>
    <col min="1529" max="1529" width="5.85546875" style="52" customWidth="1"/>
    <col min="1530" max="1530" width="6.28515625" style="52" customWidth="1"/>
    <col min="1531" max="1531" width="6.5703125" style="52" customWidth="1"/>
    <col min="1532" max="1532" width="7.140625" style="52" customWidth="1"/>
    <col min="1533" max="1533" width="43.5703125" style="52" customWidth="1"/>
    <col min="1534" max="1534" width="28.7109375" style="52" customWidth="1"/>
    <col min="1535" max="1535" width="13.5703125" style="52" customWidth="1"/>
    <col min="1536" max="1536" width="13" style="52" customWidth="1"/>
    <col min="1537" max="1537" width="13.85546875" style="52" customWidth="1"/>
    <col min="1538" max="1538" width="7.140625" style="52" customWidth="1"/>
    <col min="1539" max="1539" width="9" style="52" customWidth="1"/>
    <col min="1540" max="1540" width="22.5703125" style="52" bestFit="1" customWidth="1"/>
    <col min="1541" max="1541" width="7.140625" style="52" bestFit="1" customWidth="1"/>
    <col min="1542" max="1781" width="9.140625" style="52"/>
    <col min="1782" max="1782" width="5.5703125" style="52" customWidth="1"/>
    <col min="1783" max="1783" width="7.85546875" style="52" customWidth="1"/>
    <col min="1784" max="1784" width="6.42578125" style="52" customWidth="1"/>
    <col min="1785" max="1785" width="5.85546875" style="52" customWidth="1"/>
    <col min="1786" max="1786" width="6.28515625" style="52" customWidth="1"/>
    <col min="1787" max="1787" width="6.5703125" style="52" customWidth="1"/>
    <col min="1788" max="1788" width="7.140625" style="52" customWidth="1"/>
    <col min="1789" max="1789" width="43.5703125" style="52" customWidth="1"/>
    <col min="1790" max="1790" width="28.7109375" style="52" customWidth="1"/>
    <col min="1791" max="1791" width="13.5703125" style="52" customWidth="1"/>
    <col min="1792" max="1792" width="13" style="52" customWidth="1"/>
    <col min="1793" max="1793" width="13.85546875" style="52" customWidth="1"/>
    <col min="1794" max="1794" width="7.140625" style="52" customWidth="1"/>
    <col min="1795" max="1795" width="9" style="52" customWidth="1"/>
    <col min="1796" max="1796" width="22.5703125" style="52" bestFit="1" customWidth="1"/>
    <col min="1797" max="1797" width="7.140625" style="52" bestFit="1" customWidth="1"/>
    <col min="1798" max="2037" width="9.140625" style="52"/>
    <col min="2038" max="2038" width="5.5703125" style="52" customWidth="1"/>
    <col min="2039" max="2039" width="7.85546875" style="52" customWidth="1"/>
    <col min="2040" max="2040" width="6.42578125" style="52" customWidth="1"/>
    <col min="2041" max="2041" width="5.85546875" style="52" customWidth="1"/>
    <col min="2042" max="2042" width="6.28515625" style="52" customWidth="1"/>
    <col min="2043" max="2043" width="6.5703125" style="52" customWidth="1"/>
    <col min="2044" max="2044" width="7.140625" style="52" customWidth="1"/>
    <col min="2045" max="2045" width="43.5703125" style="52" customWidth="1"/>
    <col min="2046" max="2046" width="28.7109375" style="52" customWidth="1"/>
    <col min="2047" max="2047" width="13.5703125" style="52" customWidth="1"/>
    <col min="2048" max="2048" width="13" style="52" customWidth="1"/>
    <col min="2049" max="2049" width="13.85546875" style="52" customWidth="1"/>
    <col min="2050" max="2050" width="7.140625" style="52" customWidth="1"/>
    <col min="2051" max="2051" width="9" style="52" customWidth="1"/>
    <col min="2052" max="2052" width="22.5703125" style="52" bestFit="1" customWidth="1"/>
    <col min="2053" max="2053" width="7.140625" style="52" bestFit="1" customWidth="1"/>
    <col min="2054" max="2293" width="9.140625" style="52"/>
    <col min="2294" max="2294" width="5.5703125" style="52" customWidth="1"/>
    <col min="2295" max="2295" width="7.85546875" style="52" customWidth="1"/>
    <col min="2296" max="2296" width="6.42578125" style="52" customWidth="1"/>
    <col min="2297" max="2297" width="5.85546875" style="52" customWidth="1"/>
    <col min="2298" max="2298" width="6.28515625" style="52" customWidth="1"/>
    <col min="2299" max="2299" width="6.5703125" style="52" customWidth="1"/>
    <col min="2300" max="2300" width="7.140625" style="52" customWidth="1"/>
    <col min="2301" max="2301" width="43.5703125" style="52" customWidth="1"/>
    <col min="2302" max="2302" width="28.7109375" style="52" customWidth="1"/>
    <col min="2303" max="2303" width="13.5703125" style="52" customWidth="1"/>
    <col min="2304" max="2304" width="13" style="52" customWidth="1"/>
    <col min="2305" max="2305" width="13.85546875" style="52" customWidth="1"/>
    <col min="2306" max="2306" width="7.140625" style="52" customWidth="1"/>
    <col min="2307" max="2307" width="9" style="52" customWidth="1"/>
    <col min="2308" max="2308" width="22.5703125" style="52" bestFit="1" customWidth="1"/>
    <col min="2309" max="2309" width="7.140625" style="52" bestFit="1" customWidth="1"/>
    <col min="2310" max="2549" width="9.140625" style="52"/>
    <col min="2550" max="2550" width="5.5703125" style="52" customWidth="1"/>
    <col min="2551" max="2551" width="7.85546875" style="52" customWidth="1"/>
    <col min="2552" max="2552" width="6.42578125" style="52" customWidth="1"/>
    <col min="2553" max="2553" width="5.85546875" style="52" customWidth="1"/>
    <col min="2554" max="2554" width="6.28515625" style="52" customWidth="1"/>
    <col min="2555" max="2555" width="6.5703125" style="52" customWidth="1"/>
    <col min="2556" max="2556" width="7.140625" style="52" customWidth="1"/>
    <col min="2557" max="2557" width="43.5703125" style="52" customWidth="1"/>
    <col min="2558" max="2558" width="28.7109375" style="52" customWidth="1"/>
    <col min="2559" max="2559" width="13.5703125" style="52" customWidth="1"/>
    <col min="2560" max="2560" width="13" style="52" customWidth="1"/>
    <col min="2561" max="2561" width="13.85546875" style="52" customWidth="1"/>
    <col min="2562" max="2562" width="7.140625" style="52" customWidth="1"/>
    <col min="2563" max="2563" width="9" style="52" customWidth="1"/>
    <col min="2564" max="2564" width="22.5703125" style="52" bestFit="1" customWidth="1"/>
    <col min="2565" max="2565" width="7.140625" style="52" bestFit="1" customWidth="1"/>
    <col min="2566" max="2805" width="9.140625" style="52"/>
    <col min="2806" max="2806" width="5.5703125" style="52" customWidth="1"/>
    <col min="2807" max="2807" width="7.85546875" style="52" customWidth="1"/>
    <col min="2808" max="2808" width="6.42578125" style="52" customWidth="1"/>
    <col min="2809" max="2809" width="5.85546875" style="52" customWidth="1"/>
    <col min="2810" max="2810" width="6.28515625" style="52" customWidth="1"/>
    <col min="2811" max="2811" width="6.5703125" style="52" customWidth="1"/>
    <col min="2812" max="2812" width="7.140625" style="52" customWidth="1"/>
    <col min="2813" max="2813" width="43.5703125" style="52" customWidth="1"/>
    <col min="2814" max="2814" width="28.7109375" style="52" customWidth="1"/>
    <col min="2815" max="2815" width="13.5703125" style="52" customWidth="1"/>
    <col min="2816" max="2816" width="13" style="52" customWidth="1"/>
    <col min="2817" max="2817" width="13.85546875" style="52" customWidth="1"/>
    <col min="2818" max="2818" width="7.140625" style="52" customWidth="1"/>
    <col min="2819" max="2819" width="9" style="52" customWidth="1"/>
    <col min="2820" max="2820" width="22.5703125" style="52" bestFit="1" customWidth="1"/>
    <col min="2821" max="2821" width="7.140625" style="52" bestFit="1" customWidth="1"/>
    <col min="2822" max="3061" width="9.140625" style="52"/>
    <col min="3062" max="3062" width="5.5703125" style="52" customWidth="1"/>
    <col min="3063" max="3063" width="7.85546875" style="52" customWidth="1"/>
    <col min="3064" max="3064" width="6.42578125" style="52" customWidth="1"/>
    <col min="3065" max="3065" width="5.85546875" style="52" customWidth="1"/>
    <col min="3066" max="3066" width="6.28515625" style="52" customWidth="1"/>
    <col min="3067" max="3067" width="6.5703125" style="52" customWidth="1"/>
    <col min="3068" max="3068" width="7.140625" style="52" customWidth="1"/>
    <col min="3069" max="3069" width="43.5703125" style="52" customWidth="1"/>
    <col min="3070" max="3070" width="28.7109375" style="52" customWidth="1"/>
    <col min="3071" max="3071" width="13.5703125" style="52" customWidth="1"/>
    <col min="3072" max="3072" width="13" style="52" customWidth="1"/>
    <col min="3073" max="3073" width="13.85546875" style="52" customWidth="1"/>
    <col min="3074" max="3074" width="7.140625" style="52" customWidth="1"/>
    <col min="3075" max="3075" width="9" style="52" customWidth="1"/>
    <col min="3076" max="3076" width="22.5703125" style="52" bestFit="1" customWidth="1"/>
    <col min="3077" max="3077" width="7.140625" style="52" bestFit="1" customWidth="1"/>
    <col min="3078" max="3317" width="9.140625" style="52"/>
    <col min="3318" max="3318" width="5.5703125" style="52" customWidth="1"/>
    <col min="3319" max="3319" width="7.85546875" style="52" customWidth="1"/>
    <col min="3320" max="3320" width="6.42578125" style="52" customWidth="1"/>
    <col min="3321" max="3321" width="5.85546875" style="52" customWidth="1"/>
    <col min="3322" max="3322" width="6.28515625" style="52" customWidth="1"/>
    <col min="3323" max="3323" width="6.5703125" style="52" customWidth="1"/>
    <col min="3324" max="3324" width="7.140625" style="52" customWidth="1"/>
    <col min="3325" max="3325" width="43.5703125" style="52" customWidth="1"/>
    <col min="3326" max="3326" width="28.7109375" style="52" customWidth="1"/>
    <col min="3327" max="3327" width="13.5703125" style="52" customWidth="1"/>
    <col min="3328" max="3328" width="13" style="52" customWidth="1"/>
    <col min="3329" max="3329" width="13.85546875" style="52" customWidth="1"/>
    <col min="3330" max="3330" width="7.140625" style="52" customWidth="1"/>
    <col min="3331" max="3331" width="9" style="52" customWidth="1"/>
    <col min="3332" max="3332" width="22.5703125" style="52" bestFit="1" customWidth="1"/>
    <col min="3333" max="3333" width="7.140625" style="52" bestFit="1" customWidth="1"/>
    <col min="3334" max="3573" width="9.140625" style="52"/>
    <col min="3574" max="3574" width="5.5703125" style="52" customWidth="1"/>
    <col min="3575" max="3575" width="7.85546875" style="52" customWidth="1"/>
    <col min="3576" max="3576" width="6.42578125" style="52" customWidth="1"/>
    <col min="3577" max="3577" width="5.85546875" style="52" customWidth="1"/>
    <col min="3578" max="3578" width="6.28515625" style="52" customWidth="1"/>
    <col min="3579" max="3579" width="6.5703125" style="52" customWidth="1"/>
    <col min="3580" max="3580" width="7.140625" style="52" customWidth="1"/>
    <col min="3581" max="3581" width="43.5703125" style="52" customWidth="1"/>
    <col min="3582" max="3582" width="28.7109375" style="52" customWidth="1"/>
    <col min="3583" max="3583" width="13.5703125" style="52" customWidth="1"/>
    <col min="3584" max="3584" width="13" style="52" customWidth="1"/>
    <col min="3585" max="3585" width="13.85546875" style="52" customWidth="1"/>
    <col min="3586" max="3586" width="7.140625" style="52" customWidth="1"/>
    <col min="3587" max="3587" width="9" style="52" customWidth="1"/>
    <col min="3588" max="3588" width="22.5703125" style="52" bestFit="1" customWidth="1"/>
    <col min="3589" max="3589" width="7.140625" style="52" bestFit="1" customWidth="1"/>
    <col min="3590" max="3829" width="9.140625" style="52"/>
    <col min="3830" max="3830" width="5.5703125" style="52" customWidth="1"/>
    <col min="3831" max="3831" width="7.85546875" style="52" customWidth="1"/>
    <col min="3832" max="3832" width="6.42578125" style="52" customWidth="1"/>
    <col min="3833" max="3833" width="5.85546875" style="52" customWidth="1"/>
    <col min="3834" max="3834" width="6.28515625" style="52" customWidth="1"/>
    <col min="3835" max="3835" width="6.5703125" style="52" customWidth="1"/>
    <col min="3836" max="3836" width="7.140625" style="52" customWidth="1"/>
    <col min="3837" max="3837" width="43.5703125" style="52" customWidth="1"/>
    <col min="3838" max="3838" width="28.7109375" style="52" customWidth="1"/>
    <col min="3839" max="3839" width="13.5703125" style="52" customWidth="1"/>
    <col min="3840" max="3840" width="13" style="52" customWidth="1"/>
    <col min="3841" max="3841" width="13.85546875" style="52" customWidth="1"/>
    <col min="3842" max="3842" width="7.140625" style="52" customWidth="1"/>
    <col min="3843" max="3843" width="9" style="52" customWidth="1"/>
    <col min="3844" max="3844" width="22.5703125" style="52" bestFit="1" customWidth="1"/>
    <col min="3845" max="3845" width="7.140625" style="52" bestFit="1" customWidth="1"/>
    <col min="3846" max="4085" width="9.140625" style="52"/>
    <col min="4086" max="4086" width="5.5703125" style="52" customWidth="1"/>
    <col min="4087" max="4087" width="7.85546875" style="52" customWidth="1"/>
    <col min="4088" max="4088" width="6.42578125" style="52" customWidth="1"/>
    <col min="4089" max="4089" width="5.85546875" style="52" customWidth="1"/>
    <col min="4090" max="4090" width="6.28515625" style="52" customWidth="1"/>
    <col min="4091" max="4091" width="6.5703125" style="52" customWidth="1"/>
    <col min="4092" max="4092" width="7.140625" style="52" customWidth="1"/>
    <col min="4093" max="4093" width="43.5703125" style="52" customWidth="1"/>
    <col min="4094" max="4094" width="28.7109375" style="52" customWidth="1"/>
    <col min="4095" max="4095" width="13.5703125" style="52" customWidth="1"/>
    <col min="4096" max="4096" width="13" style="52" customWidth="1"/>
    <col min="4097" max="4097" width="13.85546875" style="52" customWidth="1"/>
    <col min="4098" max="4098" width="7.140625" style="52" customWidth="1"/>
    <col min="4099" max="4099" width="9" style="52" customWidth="1"/>
    <col min="4100" max="4100" width="22.5703125" style="52" bestFit="1" customWidth="1"/>
    <col min="4101" max="4101" width="7.140625" style="52" bestFit="1" customWidth="1"/>
    <col min="4102" max="4341" width="9.140625" style="52"/>
    <col min="4342" max="4342" width="5.5703125" style="52" customWidth="1"/>
    <col min="4343" max="4343" width="7.85546875" style="52" customWidth="1"/>
    <col min="4344" max="4344" width="6.42578125" style="52" customWidth="1"/>
    <col min="4345" max="4345" width="5.85546875" style="52" customWidth="1"/>
    <col min="4346" max="4346" width="6.28515625" style="52" customWidth="1"/>
    <col min="4347" max="4347" width="6.5703125" style="52" customWidth="1"/>
    <col min="4348" max="4348" width="7.140625" style="52" customWidth="1"/>
    <col min="4349" max="4349" width="43.5703125" style="52" customWidth="1"/>
    <col min="4350" max="4350" width="28.7109375" style="52" customWidth="1"/>
    <col min="4351" max="4351" width="13.5703125" style="52" customWidth="1"/>
    <col min="4352" max="4352" width="13" style="52" customWidth="1"/>
    <col min="4353" max="4353" width="13.85546875" style="52" customWidth="1"/>
    <col min="4354" max="4354" width="7.140625" style="52" customWidth="1"/>
    <col min="4355" max="4355" width="9" style="52" customWidth="1"/>
    <col min="4356" max="4356" width="22.5703125" style="52" bestFit="1" customWidth="1"/>
    <col min="4357" max="4357" width="7.140625" style="52" bestFit="1" customWidth="1"/>
    <col min="4358" max="4597" width="9.140625" style="52"/>
    <col min="4598" max="4598" width="5.5703125" style="52" customWidth="1"/>
    <col min="4599" max="4599" width="7.85546875" style="52" customWidth="1"/>
    <col min="4600" max="4600" width="6.42578125" style="52" customWidth="1"/>
    <col min="4601" max="4601" width="5.85546875" style="52" customWidth="1"/>
    <col min="4602" max="4602" width="6.28515625" style="52" customWidth="1"/>
    <col min="4603" max="4603" width="6.5703125" style="52" customWidth="1"/>
    <col min="4604" max="4604" width="7.140625" style="52" customWidth="1"/>
    <col min="4605" max="4605" width="43.5703125" style="52" customWidth="1"/>
    <col min="4606" max="4606" width="28.7109375" style="52" customWidth="1"/>
    <col min="4607" max="4607" width="13.5703125" style="52" customWidth="1"/>
    <col min="4608" max="4608" width="13" style="52" customWidth="1"/>
    <col min="4609" max="4609" width="13.85546875" style="52" customWidth="1"/>
    <col min="4610" max="4610" width="7.140625" style="52" customWidth="1"/>
    <col min="4611" max="4611" width="9" style="52" customWidth="1"/>
    <col min="4612" max="4612" width="22.5703125" style="52" bestFit="1" customWidth="1"/>
    <col min="4613" max="4613" width="7.140625" style="52" bestFit="1" customWidth="1"/>
    <col min="4614" max="4853" width="9.140625" style="52"/>
    <col min="4854" max="4854" width="5.5703125" style="52" customWidth="1"/>
    <col min="4855" max="4855" width="7.85546875" style="52" customWidth="1"/>
    <col min="4856" max="4856" width="6.42578125" style="52" customWidth="1"/>
    <col min="4857" max="4857" width="5.85546875" style="52" customWidth="1"/>
    <col min="4858" max="4858" width="6.28515625" style="52" customWidth="1"/>
    <col min="4859" max="4859" width="6.5703125" style="52" customWidth="1"/>
    <col min="4860" max="4860" width="7.140625" style="52" customWidth="1"/>
    <col min="4861" max="4861" width="43.5703125" style="52" customWidth="1"/>
    <col min="4862" max="4862" width="28.7109375" style="52" customWidth="1"/>
    <col min="4863" max="4863" width="13.5703125" style="52" customWidth="1"/>
    <col min="4864" max="4864" width="13" style="52" customWidth="1"/>
    <col min="4865" max="4865" width="13.85546875" style="52" customWidth="1"/>
    <col min="4866" max="4866" width="7.140625" style="52" customWidth="1"/>
    <col min="4867" max="4867" width="9" style="52" customWidth="1"/>
    <col min="4868" max="4868" width="22.5703125" style="52" bestFit="1" customWidth="1"/>
    <col min="4869" max="4869" width="7.140625" style="52" bestFit="1" customWidth="1"/>
    <col min="4870" max="5109" width="9.140625" style="52"/>
    <col min="5110" max="5110" width="5.5703125" style="52" customWidth="1"/>
    <col min="5111" max="5111" width="7.85546875" style="52" customWidth="1"/>
    <col min="5112" max="5112" width="6.42578125" style="52" customWidth="1"/>
    <col min="5113" max="5113" width="5.85546875" style="52" customWidth="1"/>
    <col min="5114" max="5114" width="6.28515625" style="52" customWidth="1"/>
    <col min="5115" max="5115" width="6.5703125" style="52" customWidth="1"/>
    <col min="5116" max="5116" width="7.140625" style="52" customWidth="1"/>
    <col min="5117" max="5117" width="43.5703125" style="52" customWidth="1"/>
    <col min="5118" max="5118" width="28.7109375" style="52" customWidth="1"/>
    <col min="5119" max="5119" width="13.5703125" style="52" customWidth="1"/>
    <col min="5120" max="5120" width="13" style="52" customWidth="1"/>
    <col min="5121" max="5121" width="13.85546875" style="52" customWidth="1"/>
    <col min="5122" max="5122" width="7.140625" style="52" customWidth="1"/>
    <col min="5123" max="5123" width="9" style="52" customWidth="1"/>
    <col min="5124" max="5124" width="22.5703125" style="52" bestFit="1" customWidth="1"/>
    <col min="5125" max="5125" width="7.140625" style="52" bestFit="1" customWidth="1"/>
    <col min="5126" max="5365" width="9.140625" style="52"/>
    <col min="5366" max="5366" width="5.5703125" style="52" customWidth="1"/>
    <col min="5367" max="5367" width="7.85546875" style="52" customWidth="1"/>
    <col min="5368" max="5368" width="6.42578125" style="52" customWidth="1"/>
    <col min="5369" max="5369" width="5.85546875" style="52" customWidth="1"/>
    <col min="5370" max="5370" width="6.28515625" style="52" customWidth="1"/>
    <col min="5371" max="5371" width="6.5703125" style="52" customWidth="1"/>
    <col min="5372" max="5372" width="7.140625" style="52" customWidth="1"/>
    <col min="5373" max="5373" width="43.5703125" style="52" customWidth="1"/>
    <col min="5374" max="5374" width="28.7109375" style="52" customWidth="1"/>
    <col min="5375" max="5375" width="13.5703125" style="52" customWidth="1"/>
    <col min="5376" max="5376" width="13" style="52" customWidth="1"/>
    <col min="5377" max="5377" width="13.85546875" style="52" customWidth="1"/>
    <col min="5378" max="5378" width="7.140625" style="52" customWidth="1"/>
    <col min="5379" max="5379" width="9" style="52" customWidth="1"/>
    <col min="5380" max="5380" width="22.5703125" style="52" bestFit="1" customWidth="1"/>
    <col min="5381" max="5381" width="7.140625" style="52" bestFit="1" customWidth="1"/>
    <col min="5382" max="5621" width="9.140625" style="52"/>
    <col min="5622" max="5622" width="5.5703125" style="52" customWidth="1"/>
    <col min="5623" max="5623" width="7.85546875" style="52" customWidth="1"/>
    <col min="5624" max="5624" width="6.42578125" style="52" customWidth="1"/>
    <col min="5625" max="5625" width="5.85546875" style="52" customWidth="1"/>
    <col min="5626" max="5626" width="6.28515625" style="52" customWidth="1"/>
    <col min="5627" max="5627" width="6.5703125" style="52" customWidth="1"/>
    <col min="5628" max="5628" width="7.140625" style="52" customWidth="1"/>
    <col min="5629" max="5629" width="43.5703125" style="52" customWidth="1"/>
    <col min="5630" max="5630" width="28.7109375" style="52" customWidth="1"/>
    <col min="5631" max="5631" width="13.5703125" style="52" customWidth="1"/>
    <col min="5632" max="5632" width="13" style="52" customWidth="1"/>
    <col min="5633" max="5633" width="13.85546875" style="52" customWidth="1"/>
    <col min="5634" max="5634" width="7.140625" style="52" customWidth="1"/>
    <col min="5635" max="5635" width="9" style="52" customWidth="1"/>
    <col min="5636" max="5636" width="22.5703125" style="52" bestFit="1" customWidth="1"/>
    <col min="5637" max="5637" width="7.140625" style="52" bestFit="1" customWidth="1"/>
    <col min="5638" max="5877" width="9.140625" style="52"/>
    <col min="5878" max="5878" width="5.5703125" style="52" customWidth="1"/>
    <col min="5879" max="5879" width="7.85546875" style="52" customWidth="1"/>
    <col min="5880" max="5880" width="6.42578125" style="52" customWidth="1"/>
    <col min="5881" max="5881" width="5.85546875" style="52" customWidth="1"/>
    <col min="5882" max="5882" width="6.28515625" style="52" customWidth="1"/>
    <col min="5883" max="5883" width="6.5703125" style="52" customWidth="1"/>
    <col min="5884" max="5884" width="7.140625" style="52" customWidth="1"/>
    <col min="5885" max="5885" width="43.5703125" style="52" customWidth="1"/>
    <col min="5886" max="5886" width="28.7109375" style="52" customWidth="1"/>
    <col min="5887" max="5887" width="13.5703125" style="52" customWidth="1"/>
    <col min="5888" max="5888" width="13" style="52" customWidth="1"/>
    <col min="5889" max="5889" width="13.85546875" style="52" customWidth="1"/>
    <col min="5890" max="5890" width="7.140625" style="52" customWidth="1"/>
    <col min="5891" max="5891" width="9" style="52" customWidth="1"/>
    <col min="5892" max="5892" width="22.5703125" style="52" bestFit="1" customWidth="1"/>
    <col min="5893" max="5893" width="7.140625" style="52" bestFit="1" customWidth="1"/>
    <col min="5894" max="6133" width="9.140625" style="52"/>
    <col min="6134" max="6134" width="5.5703125" style="52" customWidth="1"/>
    <col min="6135" max="6135" width="7.85546875" style="52" customWidth="1"/>
    <col min="6136" max="6136" width="6.42578125" style="52" customWidth="1"/>
    <col min="6137" max="6137" width="5.85546875" style="52" customWidth="1"/>
    <col min="6138" max="6138" width="6.28515625" style="52" customWidth="1"/>
    <col min="6139" max="6139" width="6.5703125" style="52" customWidth="1"/>
    <col min="6140" max="6140" width="7.140625" style="52" customWidth="1"/>
    <col min="6141" max="6141" width="43.5703125" style="52" customWidth="1"/>
    <col min="6142" max="6142" width="28.7109375" style="52" customWidth="1"/>
    <col min="6143" max="6143" width="13.5703125" style="52" customWidth="1"/>
    <col min="6144" max="6144" width="13" style="52" customWidth="1"/>
    <col min="6145" max="6145" width="13.85546875" style="52" customWidth="1"/>
    <col min="6146" max="6146" width="7.140625" style="52" customWidth="1"/>
    <col min="6147" max="6147" width="9" style="52" customWidth="1"/>
    <col min="6148" max="6148" width="22.5703125" style="52" bestFit="1" customWidth="1"/>
    <col min="6149" max="6149" width="7.140625" style="52" bestFit="1" customWidth="1"/>
    <col min="6150" max="6389" width="9.140625" style="52"/>
    <col min="6390" max="6390" width="5.5703125" style="52" customWidth="1"/>
    <col min="6391" max="6391" width="7.85546875" style="52" customWidth="1"/>
    <col min="6392" max="6392" width="6.42578125" style="52" customWidth="1"/>
    <col min="6393" max="6393" width="5.85546875" style="52" customWidth="1"/>
    <col min="6394" max="6394" width="6.28515625" style="52" customWidth="1"/>
    <col min="6395" max="6395" width="6.5703125" style="52" customWidth="1"/>
    <col min="6396" max="6396" width="7.140625" style="52" customWidth="1"/>
    <col min="6397" max="6397" width="43.5703125" style="52" customWidth="1"/>
    <col min="6398" max="6398" width="28.7109375" style="52" customWidth="1"/>
    <col min="6399" max="6399" width="13.5703125" style="52" customWidth="1"/>
    <col min="6400" max="6400" width="13" style="52" customWidth="1"/>
    <col min="6401" max="6401" width="13.85546875" style="52" customWidth="1"/>
    <col min="6402" max="6402" width="7.140625" style="52" customWidth="1"/>
    <col min="6403" max="6403" width="9" style="52" customWidth="1"/>
    <col min="6404" max="6404" width="22.5703125" style="52" bestFit="1" customWidth="1"/>
    <col min="6405" max="6405" width="7.140625" style="52" bestFit="1" customWidth="1"/>
    <col min="6406" max="6645" width="9.140625" style="52"/>
    <col min="6646" max="6646" width="5.5703125" style="52" customWidth="1"/>
    <col min="6647" max="6647" width="7.85546875" style="52" customWidth="1"/>
    <col min="6648" max="6648" width="6.42578125" style="52" customWidth="1"/>
    <col min="6649" max="6649" width="5.85546875" style="52" customWidth="1"/>
    <col min="6650" max="6650" width="6.28515625" style="52" customWidth="1"/>
    <col min="6651" max="6651" width="6.5703125" style="52" customWidth="1"/>
    <col min="6652" max="6652" width="7.140625" style="52" customWidth="1"/>
    <col min="6653" max="6653" width="43.5703125" style="52" customWidth="1"/>
    <col min="6654" max="6654" width="28.7109375" style="52" customWidth="1"/>
    <col min="6655" max="6655" width="13.5703125" style="52" customWidth="1"/>
    <col min="6656" max="6656" width="13" style="52" customWidth="1"/>
    <col min="6657" max="6657" width="13.85546875" style="52" customWidth="1"/>
    <col min="6658" max="6658" width="7.140625" style="52" customWidth="1"/>
    <col min="6659" max="6659" width="9" style="52" customWidth="1"/>
    <col min="6660" max="6660" width="22.5703125" style="52" bestFit="1" customWidth="1"/>
    <col min="6661" max="6661" width="7.140625" style="52" bestFit="1" customWidth="1"/>
    <col min="6662" max="6901" width="9.140625" style="52"/>
    <col min="6902" max="6902" width="5.5703125" style="52" customWidth="1"/>
    <col min="6903" max="6903" width="7.85546875" style="52" customWidth="1"/>
    <col min="6904" max="6904" width="6.42578125" style="52" customWidth="1"/>
    <col min="6905" max="6905" width="5.85546875" style="52" customWidth="1"/>
    <col min="6906" max="6906" width="6.28515625" style="52" customWidth="1"/>
    <col min="6907" max="6907" width="6.5703125" style="52" customWidth="1"/>
    <col min="6908" max="6908" width="7.140625" style="52" customWidth="1"/>
    <col min="6909" max="6909" width="43.5703125" style="52" customWidth="1"/>
    <col min="6910" max="6910" width="28.7109375" style="52" customWidth="1"/>
    <col min="6911" max="6911" width="13.5703125" style="52" customWidth="1"/>
    <col min="6912" max="6912" width="13" style="52" customWidth="1"/>
    <col min="6913" max="6913" width="13.85546875" style="52" customWidth="1"/>
    <col min="6914" max="6914" width="7.140625" style="52" customWidth="1"/>
    <col min="6915" max="6915" width="9" style="52" customWidth="1"/>
    <col min="6916" max="6916" width="22.5703125" style="52" bestFit="1" customWidth="1"/>
    <col min="6917" max="6917" width="7.140625" style="52" bestFit="1" customWidth="1"/>
    <col min="6918" max="7157" width="9.140625" style="52"/>
    <col min="7158" max="7158" width="5.5703125" style="52" customWidth="1"/>
    <col min="7159" max="7159" width="7.85546875" style="52" customWidth="1"/>
    <col min="7160" max="7160" width="6.42578125" style="52" customWidth="1"/>
    <col min="7161" max="7161" width="5.85546875" style="52" customWidth="1"/>
    <col min="7162" max="7162" width="6.28515625" style="52" customWidth="1"/>
    <col min="7163" max="7163" width="6.5703125" style="52" customWidth="1"/>
    <col min="7164" max="7164" width="7.140625" style="52" customWidth="1"/>
    <col min="7165" max="7165" width="43.5703125" style="52" customWidth="1"/>
    <col min="7166" max="7166" width="28.7109375" style="52" customWidth="1"/>
    <col min="7167" max="7167" width="13.5703125" style="52" customWidth="1"/>
    <col min="7168" max="7168" width="13" style="52" customWidth="1"/>
    <col min="7169" max="7169" width="13.85546875" style="52" customWidth="1"/>
    <col min="7170" max="7170" width="7.140625" style="52" customWidth="1"/>
    <col min="7171" max="7171" width="9" style="52" customWidth="1"/>
    <col min="7172" max="7172" width="22.5703125" style="52" bestFit="1" customWidth="1"/>
    <col min="7173" max="7173" width="7.140625" style="52" bestFit="1" customWidth="1"/>
    <col min="7174" max="7413" width="9.140625" style="52"/>
    <col min="7414" max="7414" width="5.5703125" style="52" customWidth="1"/>
    <col min="7415" max="7415" width="7.85546875" style="52" customWidth="1"/>
    <col min="7416" max="7416" width="6.42578125" style="52" customWidth="1"/>
    <col min="7417" max="7417" width="5.85546875" style="52" customWidth="1"/>
    <col min="7418" max="7418" width="6.28515625" style="52" customWidth="1"/>
    <col min="7419" max="7419" width="6.5703125" style="52" customWidth="1"/>
    <col min="7420" max="7420" width="7.140625" style="52" customWidth="1"/>
    <col min="7421" max="7421" width="43.5703125" style="52" customWidth="1"/>
    <col min="7422" max="7422" width="28.7109375" style="52" customWidth="1"/>
    <col min="7423" max="7423" width="13.5703125" style="52" customWidth="1"/>
    <col min="7424" max="7424" width="13" style="52" customWidth="1"/>
    <col min="7425" max="7425" width="13.85546875" style="52" customWidth="1"/>
    <col min="7426" max="7426" width="7.140625" style="52" customWidth="1"/>
    <col min="7427" max="7427" width="9" style="52" customWidth="1"/>
    <col min="7428" max="7428" width="22.5703125" style="52" bestFit="1" customWidth="1"/>
    <col min="7429" max="7429" width="7.140625" style="52" bestFit="1" customWidth="1"/>
    <col min="7430" max="7669" width="9.140625" style="52"/>
    <col min="7670" max="7670" width="5.5703125" style="52" customWidth="1"/>
    <col min="7671" max="7671" width="7.85546875" style="52" customWidth="1"/>
    <col min="7672" max="7672" width="6.42578125" style="52" customWidth="1"/>
    <col min="7673" max="7673" width="5.85546875" style="52" customWidth="1"/>
    <col min="7674" max="7674" width="6.28515625" style="52" customWidth="1"/>
    <col min="7675" max="7675" width="6.5703125" style="52" customWidth="1"/>
    <col min="7676" max="7676" width="7.140625" style="52" customWidth="1"/>
    <col min="7677" max="7677" width="43.5703125" style="52" customWidth="1"/>
    <col min="7678" max="7678" width="28.7109375" style="52" customWidth="1"/>
    <col min="7679" max="7679" width="13.5703125" style="52" customWidth="1"/>
    <col min="7680" max="7680" width="13" style="52" customWidth="1"/>
    <col min="7681" max="7681" width="13.85546875" style="52" customWidth="1"/>
    <col min="7682" max="7682" width="7.140625" style="52" customWidth="1"/>
    <col min="7683" max="7683" width="9" style="52" customWidth="1"/>
    <col min="7684" max="7684" width="22.5703125" style="52" bestFit="1" customWidth="1"/>
    <col min="7685" max="7685" width="7.140625" style="52" bestFit="1" customWidth="1"/>
    <col min="7686" max="7925" width="9.140625" style="52"/>
    <col min="7926" max="7926" width="5.5703125" style="52" customWidth="1"/>
    <col min="7927" max="7927" width="7.85546875" style="52" customWidth="1"/>
    <col min="7928" max="7928" width="6.42578125" style="52" customWidth="1"/>
    <col min="7929" max="7929" width="5.85546875" style="52" customWidth="1"/>
    <col min="7930" max="7930" width="6.28515625" style="52" customWidth="1"/>
    <col min="7931" max="7931" width="6.5703125" style="52" customWidth="1"/>
    <col min="7932" max="7932" width="7.140625" style="52" customWidth="1"/>
    <col min="7933" max="7933" width="43.5703125" style="52" customWidth="1"/>
    <col min="7934" max="7934" width="28.7109375" style="52" customWidth="1"/>
    <col min="7935" max="7935" width="13.5703125" style="52" customWidth="1"/>
    <col min="7936" max="7936" width="13" style="52" customWidth="1"/>
    <col min="7937" max="7937" width="13.85546875" style="52" customWidth="1"/>
    <col min="7938" max="7938" width="7.140625" style="52" customWidth="1"/>
    <col min="7939" max="7939" width="9" style="52" customWidth="1"/>
    <col min="7940" max="7940" width="22.5703125" style="52" bestFit="1" customWidth="1"/>
    <col min="7941" max="7941" width="7.140625" style="52" bestFit="1" customWidth="1"/>
    <col min="7942" max="8181" width="9.140625" style="52"/>
    <col min="8182" max="8182" width="5.5703125" style="52" customWidth="1"/>
    <col min="8183" max="8183" width="7.85546875" style="52" customWidth="1"/>
    <col min="8184" max="8184" width="6.42578125" style="52" customWidth="1"/>
    <col min="8185" max="8185" width="5.85546875" style="52" customWidth="1"/>
    <col min="8186" max="8186" width="6.28515625" style="52" customWidth="1"/>
    <col min="8187" max="8187" width="6.5703125" style="52" customWidth="1"/>
    <col min="8188" max="8188" width="7.140625" style="52" customWidth="1"/>
    <col min="8189" max="8189" width="43.5703125" style="52" customWidth="1"/>
    <col min="8190" max="8190" width="28.7109375" style="52" customWidth="1"/>
    <col min="8191" max="8191" width="13.5703125" style="52" customWidth="1"/>
    <col min="8192" max="8192" width="13" style="52" customWidth="1"/>
    <col min="8193" max="8193" width="13.85546875" style="52" customWidth="1"/>
    <col min="8194" max="8194" width="7.140625" style="52" customWidth="1"/>
    <col min="8195" max="8195" width="9" style="52" customWidth="1"/>
    <col min="8196" max="8196" width="22.5703125" style="52" bestFit="1" customWidth="1"/>
    <col min="8197" max="8197" width="7.140625" style="52" bestFit="1" customWidth="1"/>
    <col min="8198" max="8437" width="9.140625" style="52"/>
    <col min="8438" max="8438" width="5.5703125" style="52" customWidth="1"/>
    <col min="8439" max="8439" width="7.85546875" style="52" customWidth="1"/>
    <col min="8440" max="8440" width="6.42578125" style="52" customWidth="1"/>
    <col min="8441" max="8441" width="5.85546875" style="52" customWidth="1"/>
    <col min="8442" max="8442" width="6.28515625" style="52" customWidth="1"/>
    <col min="8443" max="8443" width="6.5703125" style="52" customWidth="1"/>
    <col min="8444" max="8444" width="7.140625" style="52" customWidth="1"/>
    <col min="8445" max="8445" width="43.5703125" style="52" customWidth="1"/>
    <col min="8446" max="8446" width="28.7109375" style="52" customWidth="1"/>
    <col min="8447" max="8447" width="13.5703125" style="52" customWidth="1"/>
    <col min="8448" max="8448" width="13" style="52" customWidth="1"/>
    <col min="8449" max="8449" width="13.85546875" style="52" customWidth="1"/>
    <col min="8450" max="8450" width="7.140625" style="52" customWidth="1"/>
    <col min="8451" max="8451" width="9" style="52" customWidth="1"/>
    <col min="8452" max="8452" width="22.5703125" style="52" bestFit="1" customWidth="1"/>
    <col min="8453" max="8453" width="7.140625" style="52" bestFit="1" customWidth="1"/>
    <col min="8454" max="8693" width="9.140625" style="52"/>
    <col min="8694" max="8694" width="5.5703125" style="52" customWidth="1"/>
    <col min="8695" max="8695" width="7.85546875" style="52" customWidth="1"/>
    <col min="8696" max="8696" width="6.42578125" style="52" customWidth="1"/>
    <col min="8697" max="8697" width="5.85546875" style="52" customWidth="1"/>
    <col min="8698" max="8698" width="6.28515625" style="52" customWidth="1"/>
    <col min="8699" max="8699" width="6.5703125" style="52" customWidth="1"/>
    <col min="8700" max="8700" width="7.140625" style="52" customWidth="1"/>
    <col min="8701" max="8701" width="43.5703125" style="52" customWidth="1"/>
    <col min="8702" max="8702" width="28.7109375" style="52" customWidth="1"/>
    <col min="8703" max="8703" width="13.5703125" style="52" customWidth="1"/>
    <col min="8704" max="8704" width="13" style="52" customWidth="1"/>
    <col min="8705" max="8705" width="13.85546875" style="52" customWidth="1"/>
    <col min="8706" max="8706" width="7.140625" style="52" customWidth="1"/>
    <col min="8707" max="8707" width="9" style="52" customWidth="1"/>
    <col min="8708" max="8708" width="22.5703125" style="52" bestFit="1" customWidth="1"/>
    <col min="8709" max="8709" width="7.140625" style="52" bestFit="1" customWidth="1"/>
    <col min="8710" max="8949" width="9.140625" style="52"/>
    <col min="8950" max="8950" width="5.5703125" style="52" customWidth="1"/>
    <col min="8951" max="8951" width="7.85546875" style="52" customWidth="1"/>
    <col min="8952" max="8952" width="6.42578125" style="52" customWidth="1"/>
    <col min="8953" max="8953" width="5.85546875" style="52" customWidth="1"/>
    <col min="8954" max="8954" width="6.28515625" style="52" customWidth="1"/>
    <col min="8955" max="8955" width="6.5703125" style="52" customWidth="1"/>
    <col min="8956" max="8956" width="7.140625" style="52" customWidth="1"/>
    <col min="8957" max="8957" width="43.5703125" style="52" customWidth="1"/>
    <col min="8958" max="8958" width="28.7109375" style="52" customWidth="1"/>
    <col min="8959" max="8959" width="13.5703125" style="52" customWidth="1"/>
    <col min="8960" max="8960" width="13" style="52" customWidth="1"/>
    <col min="8961" max="8961" width="13.85546875" style="52" customWidth="1"/>
    <col min="8962" max="8962" width="7.140625" style="52" customWidth="1"/>
    <col min="8963" max="8963" width="9" style="52" customWidth="1"/>
    <col min="8964" max="8964" width="22.5703125" style="52" bestFit="1" customWidth="1"/>
    <col min="8965" max="8965" width="7.140625" style="52" bestFit="1" customWidth="1"/>
    <col min="8966" max="9205" width="9.140625" style="52"/>
    <col min="9206" max="9206" width="5.5703125" style="52" customWidth="1"/>
    <col min="9207" max="9207" width="7.85546875" style="52" customWidth="1"/>
    <col min="9208" max="9208" width="6.42578125" style="52" customWidth="1"/>
    <col min="9209" max="9209" width="5.85546875" style="52" customWidth="1"/>
    <col min="9210" max="9210" width="6.28515625" style="52" customWidth="1"/>
    <col min="9211" max="9211" width="6.5703125" style="52" customWidth="1"/>
    <col min="9212" max="9212" width="7.140625" style="52" customWidth="1"/>
    <col min="9213" max="9213" width="43.5703125" style="52" customWidth="1"/>
    <col min="9214" max="9214" width="28.7109375" style="52" customWidth="1"/>
    <col min="9215" max="9215" width="13.5703125" style="52" customWidth="1"/>
    <col min="9216" max="9216" width="13" style="52" customWidth="1"/>
    <col min="9217" max="9217" width="13.85546875" style="52" customWidth="1"/>
    <col min="9218" max="9218" width="7.140625" style="52" customWidth="1"/>
    <col min="9219" max="9219" width="9" style="52" customWidth="1"/>
    <col min="9220" max="9220" width="22.5703125" style="52" bestFit="1" customWidth="1"/>
    <col min="9221" max="9221" width="7.140625" style="52" bestFit="1" customWidth="1"/>
    <col min="9222" max="9461" width="9.140625" style="52"/>
    <col min="9462" max="9462" width="5.5703125" style="52" customWidth="1"/>
    <col min="9463" max="9463" width="7.85546875" style="52" customWidth="1"/>
    <col min="9464" max="9464" width="6.42578125" style="52" customWidth="1"/>
    <col min="9465" max="9465" width="5.85546875" style="52" customWidth="1"/>
    <col min="9466" max="9466" width="6.28515625" style="52" customWidth="1"/>
    <col min="9467" max="9467" width="6.5703125" style="52" customWidth="1"/>
    <col min="9468" max="9468" width="7.140625" style="52" customWidth="1"/>
    <col min="9469" max="9469" width="43.5703125" style="52" customWidth="1"/>
    <col min="9470" max="9470" width="28.7109375" style="52" customWidth="1"/>
    <col min="9471" max="9471" width="13.5703125" style="52" customWidth="1"/>
    <col min="9472" max="9472" width="13" style="52" customWidth="1"/>
    <col min="9473" max="9473" width="13.85546875" style="52" customWidth="1"/>
    <col min="9474" max="9474" width="7.140625" style="52" customWidth="1"/>
    <col min="9475" max="9475" width="9" style="52" customWidth="1"/>
    <col min="9476" max="9476" width="22.5703125" style="52" bestFit="1" customWidth="1"/>
    <col min="9477" max="9477" width="7.140625" style="52" bestFit="1" customWidth="1"/>
    <col min="9478" max="9717" width="9.140625" style="52"/>
    <col min="9718" max="9718" width="5.5703125" style="52" customWidth="1"/>
    <col min="9719" max="9719" width="7.85546875" style="52" customWidth="1"/>
    <col min="9720" max="9720" width="6.42578125" style="52" customWidth="1"/>
    <col min="9721" max="9721" width="5.85546875" style="52" customWidth="1"/>
    <col min="9722" max="9722" width="6.28515625" style="52" customWidth="1"/>
    <col min="9723" max="9723" width="6.5703125" style="52" customWidth="1"/>
    <col min="9724" max="9724" width="7.140625" style="52" customWidth="1"/>
    <col min="9725" max="9725" width="43.5703125" style="52" customWidth="1"/>
    <col min="9726" max="9726" width="28.7109375" style="52" customWidth="1"/>
    <col min="9727" max="9727" width="13.5703125" style="52" customWidth="1"/>
    <col min="9728" max="9728" width="13" style="52" customWidth="1"/>
    <col min="9729" max="9729" width="13.85546875" style="52" customWidth="1"/>
    <col min="9730" max="9730" width="7.140625" style="52" customWidth="1"/>
    <col min="9731" max="9731" width="9" style="52" customWidth="1"/>
    <col min="9732" max="9732" width="22.5703125" style="52" bestFit="1" customWidth="1"/>
    <col min="9733" max="9733" width="7.140625" style="52" bestFit="1" customWidth="1"/>
    <col min="9734" max="9973" width="9.140625" style="52"/>
    <col min="9974" max="9974" width="5.5703125" style="52" customWidth="1"/>
    <col min="9975" max="9975" width="7.85546875" style="52" customWidth="1"/>
    <col min="9976" max="9976" width="6.42578125" style="52" customWidth="1"/>
    <col min="9977" max="9977" width="5.85546875" style="52" customWidth="1"/>
    <col min="9978" max="9978" width="6.28515625" style="52" customWidth="1"/>
    <col min="9979" max="9979" width="6.5703125" style="52" customWidth="1"/>
    <col min="9980" max="9980" width="7.140625" style="52" customWidth="1"/>
    <col min="9981" max="9981" width="43.5703125" style="52" customWidth="1"/>
    <col min="9982" max="9982" width="28.7109375" style="52" customWidth="1"/>
    <col min="9983" max="9983" width="13.5703125" style="52" customWidth="1"/>
    <col min="9984" max="9984" width="13" style="52" customWidth="1"/>
    <col min="9985" max="9985" width="13.85546875" style="52" customWidth="1"/>
    <col min="9986" max="9986" width="7.140625" style="52" customWidth="1"/>
    <col min="9987" max="9987" width="9" style="52" customWidth="1"/>
    <col min="9988" max="9988" width="22.5703125" style="52" bestFit="1" customWidth="1"/>
    <col min="9989" max="9989" width="7.140625" style="52" bestFit="1" customWidth="1"/>
    <col min="9990" max="10229" width="9.140625" style="52"/>
    <col min="10230" max="10230" width="5.5703125" style="52" customWidth="1"/>
    <col min="10231" max="10231" width="7.85546875" style="52" customWidth="1"/>
    <col min="10232" max="10232" width="6.42578125" style="52" customWidth="1"/>
    <col min="10233" max="10233" width="5.85546875" style="52" customWidth="1"/>
    <col min="10234" max="10234" width="6.28515625" style="52" customWidth="1"/>
    <col min="10235" max="10235" width="6.5703125" style="52" customWidth="1"/>
    <col min="10236" max="10236" width="7.140625" style="52" customWidth="1"/>
    <col min="10237" max="10237" width="43.5703125" style="52" customWidth="1"/>
    <col min="10238" max="10238" width="28.7109375" style="52" customWidth="1"/>
    <col min="10239" max="10239" width="13.5703125" style="52" customWidth="1"/>
    <col min="10240" max="10240" width="13" style="52" customWidth="1"/>
    <col min="10241" max="10241" width="13.85546875" style="52" customWidth="1"/>
    <col min="10242" max="10242" width="7.140625" style="52" customWidth="1"/>
    <col min="10243" max="10243" width="9" style="52" customWidth="1"/>
    <col min="10244" max="10244" width="22.5703125" style="52" bestFit="1" customWidth="1"/>
    <col min="10245" max="10245" width="7.140625" style="52" bestFit="1" customWidth="1"/>
    <col min="10246" max="10485" width="9.140625" style="52"/>
    <col min="10486" max="10486" width="5.5703125" style="52" customWidth="1"/>
    <col min="10487" max="10487" width="7.85546875" style="52" customWidth="1"/>
    <col min="10488" max="10488" width="6.42578125" style="52" customWidth="1"/>
    <col min="10489" max="10489" width="5.85546875" style="52" customWidth="1"/>
    <col min="10490" max="10490" width="6.28515625" style="52" customWidth="1"/>
    <col min="10491" max="10491" width="6.5703125" style="52" customWidth="1"/>
    <col min="10492" max="10492" width="7.140625" style="52" customWidth="1"/>
    <col min="10493" max="10493" width="43.5703125" style="52" customWidth="1"/>
    <col min="10494" max="10494" width="28.7109375" style="52" customWidth="1"/>
    <col min="10495" max="10495" width="13.5703125" style="52" customWidth="1"/>
    <col min="10496" max="10496" width="13" style="52" customWidth="1"/>
    <col min="10497" max="10497" width="13.85546875" style="52" customWidth="1"/>
    <col min="10498" max="10498" width="7.140625" style="52" customWidth="1"/>
    <col min="10499" max="10499" width="9" style="52" customWidth="1"/>
    <col min="10500" max="10500" width="22.5703125" style="52" bestFit="1" customWidth="1"/>
    <col min="10501" max="10501" width="7.140625" style="52" bestFit="1" customWidth="1"/>
    <col min="10502" max="10741" width="9.140625" style="52"/>
    <col min="10742" max="10742" width="5.5703125" style="52" customWidth="1"/>
    <col min="10743" max="10743" width="7.85546875" style="52" customWidth="1"/>
    <col min="10744" max="10744" width="6.42578125" style="52" customWidth="1"/>
    <col min="10745" max="10745" width="5.85546875" style="52" customWidth="1"/>
    <col min="10746" max="10746" width="6.28515625" style="52" customWidth="1"/>
    <col min="10747" max="10747" width="6.5703125" style="52" customWidth="1"/>
    <col min="10748" max="10748" width="7.140625" style="52" customWidth="1"/>
    <col min="10749" max="10749" width="43.5703125" style="52" customWidth="1"/>
    <col min="10750" max="10750" width="28.7109375" style="52" customWidth="1"/>
    <col min="10751" max="10751" width="13.5703125" style="52" customWidth="1"/>
    <col min="10752" max="10752" width="13" style="52" customWidth="1"/>
    <col min="10753" max="10753" width="13.85546875" style="52" customWidth="1"/>
    <col min="10754" max="10754" width="7.140625" style="52" customWidth="1"/>
    <col min="10755" max="10755" width="9" style="52" customWidth="1"/>
    <col min="10756" max="10756" width="22.5703125" style="52" bestFit="1" customWidth="1"/>
    <col min="10757" max="10757" width="7.140625" style="52" bestFit="1" customWidth="1"/>
    <col min="10758" max="10997" width="9.140625" style="52"/>
    <col min="10998" max="10998" width="5.5703125" style="52" customWidth="1"/>
    <col min="10999" max="10999" width="7.85546875" style="52" customWidth="1"/>
    <col min="11000" max="11000" width="6.42578125" style="52" customWidth="1"/>
    <col min="11001" max="11001" width="5.85546875" style="52" customWidth="1"/>
    <col min="11002" max="11002" width="6.28515625" style="52" customWidth="1"/>
    <col min="11003" max="11003" width="6.5703125" style="52" customWidth="1"/>
    <col min="11004" max="11004" width="7.140625" style="52" customWidth="1"/>
    <col min="11005" max="11005" width="43.5703125" style="52" customWidth="1"/>
    <col min="11006" max="11006" width="28.7109375" style="52" customWidth="1"/>
    <col min="11007" max="11007" width="13.5703125" style="52" customWidth="1"/>
    <col min="11008" max="11008" width="13" style="52" customWidth="1"/>
    <col min="11009" max="11009" width="13.85546875" style="52" customWidth="1"/>
    <col min="11010" max="11010" width="7.140625" style="52" customWidth="1"/>
    <col min="11011" max="11011" width="9" style="52" customWidth="1"/>
    <col min="11012" max="11012" width="22.5703125" style="52" bestFit="1" customWidth="1"/>
    <col min="11013" max="11013" width="7.140625" style="52" bestFit="1" customWidth="1"/>
    <col min="11014" max="11253" width="9.140625" style="52"/>
    <col min="11254" max="11254" width="5.5703125" style="52" customWidth="1"/>
    <col min="11255" max="11255" width="7.85546875" style="52" customWidth="1"/>
    <col min="11256" max="11256" width="6.42578125" style="52" customWidth="1"/>
    <col min="11257" max="11257" width="5.85546875" style="52" customWidth="1"/>
    <col min="11258" max="11258" width="6.28515625" style="52" customWidth="1"/>
    <col min="11259" max="11259" width="6.5703125" style="52" customWidth="1"/>
    <col min="11260" max="11260" width="7.140625" style="52" customWidth="1"/>
    <col min="11261" max="11261" width="43.5703125" style="52" customWidth="1"/>
    <col min="11262" max="11262" width="28.7109375" style="52" customWidth="1"/>
    <col min="11263" max="11263" width="13.5703125" style="52" customWidth="1"/>
    <col min="11264" max="11264" width="13" style="52" customWidth="1"/>
    <col min="11265" max="11265" width="13.85546875" style="52" customWidth="1"/>
    <col min="11266" max="11266" width="7.140625" style="52" customWidth="1"/>
    <col min="11267" max="11267" width="9" style="52" customWidth="1"/>
    <col min="11268" max="11268" width="22.5703125" style="52" bestFit="1" customWidth="1"/>
    <col min="11269" max="11269" width="7.140625" style="52" bestFit="1" customWidth="1"/>
    <col min="11270" max="11509" width="9.140625" style="52"/>
    <col min="11510" max="11510" width="5.5703125" style="52" customWidth="1"/>
    <col min="11511" max="11511" width="7.85546875" style="52" customWidth="1"/>
    <col min="11512" max="11512" width="6.42578125" style="52" customWidth="1"/>
    <col min="11513" max="11513" width="5.85546875" style="52" customWidth="1"/>
    <col min="11514" max="11514" width="6.28515625" style="52" customWidth="1"/>
    <col min="11515" max="11515" width="6.5703125" style="52" customWidth="1"/>
    <col min="11516" max="11516" width="7.140625" style="52" customWidth="1"/>
    <col min="11517" max="11517" width="43.5703125" style="52" customWidth="1"/>
    <col min="11518" max="11518" width="28.7109375" style="52" customWidth="1"/>
    <col min="11519" max="11519" width="13.5703125" style="52" customWidth="1"/>
    <col min="11520" max="11520" width="13" style="52" customWidth="1"/>
    <col min="11521" max="11521" width="13.85546875" style="52" customWidth="1"/>
    <col min="11522" max="11522" width="7.140625" style="52" customWidth="1"/>
    <col min="11523" max="11523" width="9" style="52" customWidth="1"/>
    <col min="11524" max="11524" width="22.5703125" style="52" bestFit="1" customWidth="1"/>
    <col min="11525" max="11525" width="7.140625" style="52" bestFit="1" customWidth="1"/>
    <col min="11526" max="11765" width="9.140625" style="52"/>
    <col min="11766" max="11766" width="5.5703125" style="52" customWidth="1"/>
    <col min="11767" max="11767" width="7.85546875" style="52" customWidth="1"/>
    <col min="11768" max="11768" width="6.42578125" style="52" customWidth="1"/>
    <col min="11769" max="11769" width="5.85546875" style="52" customWidth="1"/>
    <col min="11770" max="11770" width="6.28515625" style="52" customWidth="1"/>
    <col min="11771" max="11771" width="6.5703125" style="52" customWidth="1"/>
    <col min="11772" max="11772" width="7.140625" style="52" customWidth="1"/>
    <col min="11773" max="11773" width="43.5703125" style="52" customWidth="1"/>
    <col min="11774" max="11774" width="28.7109375" style="52" customWidth="1"/>
    <col min="11775" max="11775" width="13.5703125" style="52" customWidth="1"/>
    <col min="11776" max="11776" width="13" style="52" customWidth="1"/>
    <col min="11777" max="11777" width="13.85546875" style="52" customWidth="1"/>
    <col min="11778" max="11778" width="7.140625" style="52" customWidth="1"/>
    <col min="11779" max="11779" width="9" style="52" customWidth="1"/>
    <col min="11780" max="11780" width="22.5703125" style="52" bestFit="1" customWidth="1"/>
    <col min="11781" max="11781" width="7.140625" style="52" bestFit="1" customWidth="1"/>
    <col min="11782" max="12021" width="9.140625" style="52"/>
    <col min="12022" max="12022" width="5.5703125" style="52" customWidth="1"/>
    <col min="12023" max="12023" width="7.85546875" style="52" customWidth="1"/>
    <col min="12024" max="12024" width="6.42578125" style="52" customWidth="1"/>
    <col min="12025" max="12025" width="5.85546875" style="52" customWidth="1"/>
    <col min="12026" max="12026" width="6.28515625" style="52" customWidth="1"/>
    <col min="12027" max="12027" width="6.5703125" style="52" customWidth="1"/>
    <col min="12028" max="12028" width="7.140625" style="52" customWidth="1"/>
    <col min="12029" max="12029" width="43.5703125" style="52" customWidth="1"/>
    <col min="12030" max="12030" width="28.7109375" style="52" customWidth="1"/>
    <col min="12031" max="12031" width="13.5703125" style="52" customWidth="1"/>
    <col min="12032" max="12032" width="13" style="52" customWidth="1"/>
    <col min="12033" max="12033" width="13.85546875" style="52" customWidth="1"/>
    <col min="12034" max="12034" width="7.140625" style="52" customWidth="1"/>
    <col min="12035" max="12035" width="9" style="52" customWidth="1"/>
    <col min="12036" max="12036" width="22.5703125" style="52" bestFit="1" customWidth="1"/>
    <col min="12037" max="12037" width="7.140625" style="52" bestFit="1" customWidth="1"/>
    <col min="12038" max="12277" width="9.140625" style="52"/>
    <col min="12278" max="12278" width="5.5703125" style="52" customWidth="1"/>
    <col min="12279" max="12279" width="7.85546875" style="52" customWidth="1"/>
    <col min="12280" max="12280" width="6.42578125" style="52" customWidth="1"/>
    <col min="12281" max="12281" width="5.85546875" style="52" customWidth="1"/>
    <col min="12282" max="12282" width="6.28515625" style="52" customWidth="1"/>
    <col min="12283" max="12283" width="6.5703125" style="52" customWidth="1"/>
    <col min="12284" max="12284" width="7.140625" style="52" customWidth="1"/>
    <col min="12285" max="12285" width="43.5703125" style="52" customWidth="1"/>
    <col min="12286" max="12286" width="28.7109375" style="52" customWidth="1"/>
    <col min="12287" max="12287" width="13.5703125" style="52" customWidth="1"/>
    <col min="12288" max="12288" width="13" style="52" customWidth="1"/>
    <col min="12289" max="12289" width="13.85546875" style="52" customWidth="1"/>
    <col min="12290" max="12290" width="7.140625" style="52" customWidth="1"/>
    <col min="12291" max="12291" width="9" style="52" customWidth="1"/>
    <col min="12292" max="12292" width="22.5703125" style="52" bestFit="1" customWidth="1"/>
    <col min="12293" max="12293" width="7.140625" style="52" bestFit="1" customWidth="1"/>
    <col min="12294" max="12533" width="9.140625" style="52"/>
    <col min="12534" max="12534" width="5.5703125" style="52" customWidth="1"/>
    <col min="12535" max="12535" width="7.85546875" style="52" customWidth="1"/>
    <col min="12536" max="12536" width="6.42578125" style="52" customWidth="1"/>
    <col min="12537" max="12537" width="5.85546875" style="52" customWidth="1"/>
    <col min="12538" max="12538" width="6.28515625" style="52" customWidth="1"/>
    <col min="12539" max="12539" width="6.5703125" style="52" customWidth="1"/>
    <col min="12540" max="12540" width="7.140625" style="52" customWidth="1"/>
    <col min="12541" max="12541" width="43.5703125" style="52" customWidth="1"/>
    <col min="12542" max="12542" width="28.7109375" style="52" customWidth="1"/>
    <col min="12543" max="12543" width="13.5703125" style="52" customWidth="1"/>
    <col min="12544" max="12544" width="13" style="52" customWidth="1"/>
    <col min="12545" max="12545" width="13.85546875" style="52" customWidth="1"/>
    <col min="12546" max="12546" width="7.140625" style="52" customWidth="1"/>
    <col min="12547" max="12547" width="9" style="52" customWidth="1"/>
    <col min="12548" max="12548" width="22.5703125" style="52" bestFit="1" customWidth="1"/>
    <col min="12549" max="12549" width="7.140625" style="52" bestFit="1" customWidth="1"/>
    <col min="12550" max="12789" width="9.140625" style="52"/>
    <col min="12790" max="12790" width="5.5703125" style="52" customWidth="1"/>
    <col min="12791" max="12791" width="7.85546875" style="52" customWidth="1"/>
    <col min="12792" max="12792" width="6.42578125" style="52" customWidth="1"/>
    <col min="12793" max="12793" width="5.85546875" style="52" customWidth="1"/>
    <col min="12794" max="12794" width="6.28515625" style="52" customWidth="1"/>
    <col min="12795" max="12795" width="6.5703125" style="52" customWidth="1"/>
    <col min="12796" max="12796" width="7.140625" style="52" customWidth="1"/>
    <col min="12797" max="12797" width="43.5703125" style="52" customWidth="1"/>
    <col min="12798" max="12798" width="28.7109375" style="52" customWidth="1"/>
    <col min="12799" max="12799" width="13.5703125" style="52" customWidth="1"/>
    <col min="12800" max="12800" width="13" style="52" customWidth="1"/>
    <col min="12801" max="12801" width="13.85546875" style="52" customWidth="1"/>
    <col min="12802" max="12802" width="7.140625" style="52" customWidth="1"/>
    <col min="12803" max="12803" width="9" style="52" customWidth="1"/>
    <col min="12804" max="12804" width="22.5703125" style="52" bestFit="1" customWidth="1"/>
    <col min="12805" max="12805" width="7.140625" style="52" bestFit="1" customWidth="1"/>
    <col min="12806" max="13045" width="9.140625" style="52"/>
    <col min="13046" max="13046" width="5.5703125" style="52" customWidth="1"/>
    <col min="13047" max="13047" width="7.85546875" style="52" customWidth="1"/>
    <col min="13048" max="13048" width="6.42578125" style="52" customWidth="1"/>
    <col min="13049" max="13049" width="5.85546875" style="52" customWidth="1"/>
    <col min="13050" max="13050" width="6.28515625" style="52" customWidth="1"/>
    <col min="13051" max="13051" width="6.5703125" style="52" customWidth="1"/>
    <col min="13052" max="13052" width="7.140625" style="52" customWidth="1"/>
    <col min="13053" max="13053" width="43.5703125" style="52" customWidth="1"/>
    <col min="13054" max="13054" width="28.7109375" style="52" customWidth="1"/>
    <col min="13055" max="13055" width="13.5703125" style="52" customWidth="1"/>
    <col min="13056" max="13056" width="13" style="52" customWidth="1"/>
    <col min="13057" max="13057" width="13.85546875" style="52" customWidth="1"/>
    <col min="13058" max="13058" width="7.140625" style="52" customWidth="1"/>
    <col min="13059" max="13059" width="9" style="52" customWidth="1"/>
    <col min="13060" max="13060" width="22.5703125" style="52" bestFit="1" customWidth="1"/>
    <col min="13061" max="13061" width="7.140625" style="52" bestFit="1" customWidth="1"/>
    <col min="13062" max="13301" width="9.140625" style="52"/>
    <col min="13302" max="13302" width="5.5703125" style="52" customWidth="1"/>
    <col min="13303" max="13303" width="7.85546875" style="52" customWidth="1"/>
    <col min="13304" max="13304" width="6.42578125" style="52" customWidth="1"/>
    <col min="13305" max="13305" width="5.85546875" style="52" customWidth="1"/>
    <col min="13306" max="13306" width="6.28515625" style="52" customWidth="1"/>
    <col min="13307" max="13307" width="6.5703125" style="52" customWidth="1"/>
    <col min="13308" max="13308" width="7.140625" style="52" customWidth="1"/>
    <col min="13309" max="13309" width="43.5703125" style="52" customWidth="1"/>
    <col min="13310" max="13310" width="28.7109375" style="52" customWidth="1"/>
    <col min="13311" max="13311" width="13.5703125" style="52" customWidth="1"/>
    <col min="13312" max="13312" width="13" style="52" customWidth="1"/>
    <col min="13313" max="13313" width="13.85546875" style="52" customWidth="1"/>
    <col min="13314" max="13314" width="7.140625" style="52" customWidth="1"/>
    <col min="13315" max="13315" width="9" style="52" customWidth="1"/>
    <col min="13316" max="13316" width="22.5703125" style="52" bestFit="1" customWidth="1"/>
    <col min="13317" max="13317" width="7.140625" style="52" bestFit="1" customWidth="1"/>
    <col min="13318" max="13557" width="9.140625" style="52"/>
    <col min="13558" max="13558" width="5.5703125" style="52" customWidth="1"/>
    <col min="13559" max="13559" width="7.85546875" style="52" customWidth="1"/>
    <col min="13560" max="13560" width="6.42578125" style="52" customWidth="1"/>
    <col min="13561" max="13561" width="5.85546875" style="52" customWidth="1"/>
    <col min="13562" max="13562" width="6.28515625" style="52" customWidth="1"/>
    <col min="13563" max="13563" width="6.5703125" style="52" customWidth="1"/>
    <col min="13564" max="13564" width="7.140625" style="52" customWidth="1"/>
    <col min="13565" max="13565" width="43.5703125" style="52" customWidth="1"/>
    <col min="13566" max="13566" width="28.7109375" style="52" customWidth="1"/>
    <col min="13567" max="13567" width="13.5703125" style="52" customWidth="1"/>
    <col min="13568" max="13568" width="13" style="52" customWidth="1"/>
    <col min="13569" max="13569" width="13.85546875" style="52" customWidth="1"/>
    <col min="13570" max="13570" width="7.140625" style="52" customWidth="1"/>
    <col min="13571" max="13571" width="9" style="52" customWidth="1"/>
    <col min="13572" max="13572" width="22.5703125" style="52" bestFit="1" customWidth="1"/>
    <col min="13573" max="13573" width="7.140625" style="52" bestFit="1" customWidth="1"/>
    <col min="13574" max="13813" width="9.140625" style="52"/>
    <col min="13814" max="13814" width="5.5703125" style="52" customWidth="1"/>
    <col min="13815" max="13815" width="7.85546875" style="52" customWidth="1"/>
    <col min="13816" max="13816" width="6.42578125" style="52" customWidth="1"/>
    <col min="13817" max="13817" width="5.85546875" style="52" customWidth="1"/>
    <col min="13818" max="13818" width="6.28515625" style="52" customWidth="1"/>
    <col min="13819" max="13819" width="6.5703125" style="52" customWidth="1"/>
    <col min="13820" max="13820" width="7.140625" style="52" customWidth="1"/>
    <col min="13821" max="13821" width="43.5703125" style="52" customWidth="1"/>
    <col min="13822" max="13822" width="28.7109375" style="52" customWidth="1"/>
    <col min="13823" max="13823" width="13.5703125" style="52" customWidth="1"/>
    <col min="13824" max="13824" width="13" style="52" customWidth="1"/>
    <col min="13825" max="13825" width="13.85546875" style="52" customWidth="1"/>
    <col min="13826" max="13826" width="7.140625" style="52" customWidth="1"/>
    <col min="13827" max="13827" width="9" style="52" customWidth="1"/>
    <col min="13828" max="13828" width="22.5703125" style="52" bestFit="1" customWidth="1"/>
    <col min="13829" max="13829" width="7.140625" style="52" bestFit="1" customWidth="1"/>
    <col min="13830" max="14069" width="9.140625" style="52"/>
    <col min="14070" max="14070" width="5.5703125" style="52" customWidth="1"/>
    <col min="14071" max="14071" width="7.85546875" style="52" customWidth="1"/>
    <col min="14072" max="14072" width="6.42578125" style="52" customWidth="1"/>
    <col min="14073" max="14073" width="5.85546875" style="52" customWidth="1"/>
    <col min="14074" max="14074" width="6.28515625" style="52" customWidth="1"/>
    <col min="14075" max="14075" width="6.5703125" style="52" customWidth="1"/>
    <col min="14076" max="14076" width="7.140625" style="52" customWidth="1"/>
    <col min="14077" max="14077" width="43.5703125" style="52" customWidth="1"/>
    <col min="14078" max="14078" width="28.7109375" style="52" customWidth="1"/>
    <col min="14079" max="14079" width="13.5703125" style="52" customWidth="1"/>
    <col min="14080" max="14080" width="13" style="52" customWidth="1"/>
    <col min="14081" max="14081" width="13.85546875" style="52" customWidth="1"/>
    <col min="14082" max="14082" width="7.140625" style="52" customWidth="1"/>
    <col min="14083" max="14083" width="9" style="52" customWidth="1"/>
    <col min="14084" max="14084" width="22.5703125" style="52" bestFit="1" customWidth="1"/>
    <col min="14085" max="14085" width="7.140625" style="52" bestFit="1" customWidth="1"/>
    <col min="14086" max="14325" width="9.140625" style="52"/>
    <col min="14326" max="14326" width="5.5703125" style="52" customWidth="1"/>
    <col min="14327" max="14327" width="7.85546875" style="52" customWidth="1"/>
    <col min="14328" max="14328" width="6.42578125" style="52" customWidth="1"/>
    <col min="14329" max="14329" width="5.85546875" style="52" customWidth="1"/>
    <col min="14330" max="14330" width="6.28515625" style="52" customWidth="1"/>
    <col min="14331" max="14331" width="6.5703125" style="52" customWidth="1"/>
    <col min="14332" max="14332" width="7.140625" style="52" customWidth="1"/>
    <col min="14333" max="14333" width="43.5703125" style="52" customWidth="1"/>
    <col min="14334" max="14334" width="28.7109375" style="52" customWidth="1"/>
    <col min="14335" max="14335" width="13.5703125" style="52" customWidth="1"/>
    <col min="14336" max="14336" width="13" style="52" customWidth="1"/>
    <col min="14337" max="14337" width="13.85546875" style="52" customWidth="1"/>
    <col min="14338" max="14338" width="7.140625" style="52" customWidth="1"/>
    <col min="14339" max="14339" width="9" style="52" customWidth="1"/>
    <col min="14340" max="14340" width="22.5703125" style="52" bestFit="1" customWidth="1"/>
    <col min="14341" max="14341" width="7.140625" style="52" bestFit="1" customWidth="1"/>
    <col min="14342" max="14581" width="9.140625" style="52"/>
    <col min="14582" max="14582" width="5.5703125" style="52" customWidth="1"/>
    <col min="14583" max="14583" width="7.85546875" style="52" customWidth="1"/>
    <col min="14584" max="14584" width="6.42578125" style="52" customWidth="1"/>
    <col min="14585" max="14585" width="5.85546875" style="52" customWidth="1"/>
    <col min="14586" max="14586" width="6.28515625" style="52" customWidth="1"/>
    <col min="14587" max="14587" width="6.5703125" style="52" customWidth="1"/>
    <col min="14588" max="14588" width="7.140625" style="52" customWidth="1"/>
    <col min="14589" max="14589" width="43.5703125" style="52" customWidth="1"/>
    <col min="14590" max="14590" width="28.7109375" style="52" customWidth="1"/>
    <col min="14591" max="14591" width="13.5703125" style="52" customWidth="1"/>
    <col min="14592" max="14592" width="13" style="52" customWidth="1"/>
    <col min="14593" max="14593" width="13.85546875" style="52" customWidth="1"/>
    <col min="14594" max="14594" width="7.140625" style="52" customWidth="1"/>
    <col min="14595" max="14595" width="9" style="52" customWidth="1"/>
    <col min="14596" max="14596" width="22.5703125" style="52" bestFit="1" customWidth="1"/>
    <col min="14597" max="14597" width="7.140625" style="52" bestFit="1" customWidth="1"/>
    <col min="14598" max="14837" width="9.140625" style="52"/>
    <col min="14838" max="14838" width="5.5703125" style="52" customWidth="1"/>
    <col min="14839" max="14839" width="7.85546875" style="52" customWidth="1"/>
    <col min="14840" max="14840" width="6.42578125" style="52" customWidth="1"/>
    <col min="14841" max="14841" width="5.85546875" style="52" customWidth="1"/>
    <col min="14842" max="14842" width="6.28515625" style="52" customWidth="1"/>
    <col min="14843" max="14843" width="6.5703125" style="52" customWidth="1"/>
    <col min="14844" max="14844" width="7.140625" style="52" customWidth="1"/>
    <col min="14845" max="14845" width="43.5703125" style="52" customWidth="1"/>
    <col min="14846" max="14846" width="28.7109375" style="52" customWidth="1"/>
    <col min="14847" max="14847" width="13.5703125" style="52" customWidth="1"/>
    <col min="14848" max="14848" width="13" style="52" customWidth="1"/>
    <col min="14849" max="14849" width="13.85546875" style="52" customWidth="1"/>
    <col min="14850" max="14850" width="7.140625" style="52" customWidth="1"/>
    <col min="14851" max="14851" width="9" style="52" customWidth="1"/>
    <col min="14852" max="14852" width="22.5703125" style="52" bestFit="1" customWidth="1"/>
    <col min="14853" max="14853" width="7.140625" style="52" bestFit="1" customWidth="1"/>
    <col min="14854" max="15093" width="9.140625" style="52"/>
    <col min="15094" max="15094" width="5.5703125" style="52" customWidth="1"/>
    <col min="15095" max="15095" width="7.85546875" style="52" customWidth="1"/>
    <col min="15096" max="15096" width="6.42578125" style="52" customWidth="1"/>
    <col min="15097" max="15097" width="5.85546875" style="52" customWidth="1"/>
    <col min="15098" max="15098" width="6.28515625" style="52" customWidth="1"/>
    <col min="15099" max="15099" width="6.5703125" style="52" customWidth="1"/>
    <col min="15100" max="15100" width="7.140625" style="52" customWidth="1"/>
    <col min="15101" max="15101" width="43.5703125" style="52" customWidth="1"/>
    <col min="15102" max="15102" width="28.7109375" style="52" customWidth="1"/>
    <col min="15103" max="15103" width="13.5703125" style="52" customWidth="1"/>
    <col min="15104" max="15104" width="13" style="52" customWidth="1"/>
    <col min="15105" max="15105" width="13.85546875" style="52" customWidth="1"/>
    <col min="15106" max="15106" width="7.140625" style="52" customWidth="1"/>
    <col min="15107" max="15107" width="9" style="52" customWidth="1"/>
    <col min="15108" max="15108" width="22.5703125" style="52" bestFit="1" customWidth="1"/>
    <col min="15109" max="15109" width="7.140625" style="52" bestFit="1" customWidth="1"/>
    <col min="15110" max="15349" width="9.140625" style="52"/>
    <col min="15350" max="15350" width="5.5703125" style="52" customWidth="1"/>
    <col min="15351" max="15351" width="7.85546875" style="52" customWidth="1"/>
    <col min="15352" max="15352" width="6.42578125" style="52" customWidth="1"/>
    <col min="15353" max="15353" width="5.85546875" style="52" customWidth="1"/>
    <col min="15354" max="15354" width="6.28515625" style="52" customWidth="1"/>
    <col min="15355" max="15355" width="6.5703125" style="52" customWidth="1"/>
    <col min="15356" max="15356" width="7.140625" style="52" customWidth="1"/>
    <col min="15357" max="15357" width="43.5703125" style="52" customWidth="1"/>
    <col min="15358" max="15358" width="28.7109375" style="52" customWidth="1"/>
    <col min="15359" max="15359" width="13.5703125" style="52" customWidth="1"/>
    <col min="15360" max="15360" width="13" style="52" customWidth="1"/>
    <col min="15361" max="15361" width="13.85546875" style="52" customWidth="1"/>
    <col min="15362" max="15362" width="7.140625" style="52" customWidth="1"/>
    <col min="15363" max="15363" width="9" style="52" customWidth="1"/>
    <col min="15364" max="15364" width="22.5703125" style="52" bestFit="1" customWidth="1"/>
    <col min="15365" max="15365" width="7.140625" style="52" bestFit="1" customWidth="1"/>
    <col min="15366" max="15605" width="9.140625" style="52"/>
    <col min="15606" max="15606" width="5.5703125" style="52" customWidth="1"/>
    <col min="15607" max="15607" width="7.85546875" style="52" customWidth="1"/>
    <col min="15608" max="15608" width="6.42578125" style="52" customWidth="1"/>
    <col min="15609" max="15609" width="5.85546875" style="52" customWidth="1"/>
    <col min="15610" max="15610" width="6.28515625" style="52" customWidth="1"/>
    <col min="15611" max="15611" width="6.5703125" style="52" customWidth="1"/>
    <col min="15612" max="15612" width="7.140625" style="52" customWidth="1"/>
    <col min="15613" max="15613" width="43.5703125" style="52" customWidth="1"/>
    <col min="15614" max="15614" width="28.7109375" style="52" customWidth="1"/>
    <col min="15615" max="15615" width="13.5703125" style="52" customWidth="1"/>
    <col min="15616" max="15616" width="13" style="52" customWidth="1"/>
    <col min="15617" max="15617" width="13.85546875" style="52" customWidth="1"/>
    <col min="15618" max="15618" width="7.140625" style="52" customWidth="1"/>
    <col min="15619" max="15619" width="9" style="52" customWidth="1"/>
    <col min="15620" max="15620" width="22.5703125" style="52" bestFit="1" customWidth="1"/>
    <col min="15621" max="15621" width="7.140625" style="52" bestFit="1" customWidth="1"/>
    <col min="15622" max="15861" width="9.140625" style="52"/>
    <col min="15862" max="15862" width="5.5703125" style="52" customWidth="1"/>
    <col min="15863" max="15863" width="7.85546875" style="52" customWidth="1"/>
    <col min="15864" max="15864" width="6.42578125" style="52" customWidth="1"/>
    <col min="15865" max="15865" width="5.85546875" style="52" customWidth="1"/>
    <col min="15866" max="15866" width="6.28515625" style="52" customWidth="1"/>
    <col min="15867" max="15867" width="6.5703125" style="52" customWidth="1"/>
    <col min="15868" max="15868" width="7.140625" style="52" customWidth="1"/>
    <col min="15869" max="15869" width="43.5703125" style="52" customWidth="1"/>
    <col min="15870" max="15870" width="28.7109375" style="52" customWidth="1"/>
    <col min="15871" max="15871" width="13.5703125" style="52" customWidth="1"/>
    <col min="15872" max="15872" width="13" style="52" customWidth="1"/>
    <col min="15873" max="15873" width="13.85546875" style="52" customWidth="1"/>
    <col min="15874" max="15874" width="7.140625" style="52" customWidth="1"/>
    <col min="15875" max="15875" width="9" style="52" customWidth="1"/>
    <col min="15876" max="15876" width="22.5703125" style="52" bestFit="1" customWidth="1"/>
    <col min="15877" max="15877" width="7.140625" style="52" bestFit="1" customWidth="1"/>
    <col min="15878" max="16117" width="9.140625" style="52"/>
    <col min="16118" max="16118" width="5.5703125" style="52" customWidth="1"/>
    <col min="16119" max="16119" width="7.85546875" style="52" customWidth="1"/>
    <col min="16120" max="16120" width="6.42578125" style="52" customWidth="1"/>
    <col min="16121" max="16121" width="5.85546875" style="52" customWidth="1"/>
    <col min="16122" max="16122" width="6.28515625" style="52" customWidth="1"/>
    <col min="16123" max="16123" width="6.5703125" style="52" customWidth="1"/>
    <col min="16124" max="16124" width="7.140625" style="52" customWidth="1"/>
    <col min="16125" max="16125" width="43.5703125" style="52" customWidth="1"/>
    <col min="16126" max="16126" width="28.7109375" style="52" customWidth="1"/>
    <col min="16127" max="16127" width="13.5703125" style="52" customWidth="1"/>
    <col min="16128" max="16128" width="13" style="52" customWidth="1"/>
    <col min="16129" max="16129" width="13.85546875" style="52" customWidth="1"/>
    <col min="16130" max="16130" width="7.140625" style="52" customWidth="1"/>
    <col min="16131" max="16131" width="9" style="52" customWidth="1"/>
    <col min="16132" max="16132" width="22.5703125" style="52" bestFit="1" customWidth="1"/>
    <col min="16133" max="16133" width="7.140625" style="52" bestFit="1" customWidth="1"/>
    <col min="16134" max="16384" width="9.140625" style="52"/>
  </cols>
  <sheetData>
    <row r="1" spans="1:11" s="6" customFormat="1" ht="30">
      <c r="A1" s="5" t="s">
        <v>56</v>
      </c>
      <c r="B1" s="5"/>
    </row>
    <row r="2" spans="1:11" s="6" customFormat="1" ht="17.45">
      <c r="A2" s="15" t="str">
        <f>+Risks!A2</f>
        <v>Project name:</v>
      </c>
      <c r="B2" s="15"/>
    </row>
    <row r="3" spans="1:11" s="6" customFormat="1" ht="17.45">
      <c r="A3" s="15" t="str">
        <f>+Risks!A3</f>
        <v>Kaizen Project manager:</v>
      </c>
      <c r="B3" s="15"/>
    </row>
    <row r="4" spans="1:11" s="6" customFormat="1" ht="17.45">
      <c r="A4" s="15" t="str">
        <f>+Risks!A4</f>
        <v>Client Project manager:</v>
      </c>
      <c r="B4" s="15"/>
    </row>
    <row r="5" spans="1:11" s="6" customFormat="1" ht="17.45">
      <c r="A5" s="22" t="s">
        <v>20</v>
      </c>
      <c r="B5" s="15"/>
      <c r="C5" s="73">
        <f ca="1">+Risks!$C$5</f>
        <v>46209</v>
      </c>
    </row>
    <row r="6" spans="1:11" s="6" customFormat="1" ht="17.45">
      <c r="A6" s="15"/>
      <c r="B6" s="15"/>
    </row>
    <row r="7" spans="1:11" s="17" customFormat="1" ht="75.75" customHeight="1">
      <c r="A7" s="50" t="s">
        <v>46</v>
      </c>
      <c r="B7" s="50" t="s">
        <v>47</v>
      </c>
      <c r="C7" s="50" t="s">
        <v>22</v>
      </c>
      <c r="D7" s="50" t="s">
        <v>48</v>
      </c>
      <c r="E7" s="50" t="s">
        <v>49</v>
      </c>
      <c r="F7" s="50" t="s">
        <v>50</v>
      </c>
      <c r="G7" s="50" t="s">
        <v>51</v>
      </c>
      <c r="H7" s="50" t="s">
        <v>52</v>
      </c>
      <c r="I7" s="50" t="s">
        <v>32</v>
      </c>
      <c r="J7" s="50" t="s">
        <v>53</v>
      </c>
      <c r="K7" s="16" t="s">
        <v>54</v>
      </c>
    </row>
    <row r="8" spans="1:11" s="51" customFormat="1" ht="13.9">
      <c r="A8" s="28">
        <v>1</v>
      </c>
      <c r="B8" s="29"/>
      <c r="C8" s="30"/>
      <c r="D8" s="31"/>
      <c r="E8" s="32" t="s">
        <v>38</v>
      </c>
      <c r="F8" s="33"/>
      <c r="G8" s="34"/>
      <c r="H8" s="35"/>
      <c r="I8" s="32"/>
      <c r="J8" s="3"/>
      <c r="K8" s="55"/>
    </row>
    <row r="9" spans="1:11" ht="13.9">
      <c r="A9" s="28">
        <v>2</v>
      </c>
      <c r="B9" s="29"/>
      <c r="C9" s="30"/>
      <c r="D9" s="31"/>
      <c r="E9" s="36" t="s">
        <v>37</v>
      </c>
      <c r="F9" s="33"/>
      <c r="G9" s="34"/>
      <c r="H9" s="35"/>
      <c r="I9" s="32"/>
      <c r="J9" s="1"/>
      <c r="K9" s="56"/>
    </row>
    <row r="10" spans="1:11" ht="13.9">
      <c r="A10" s="28">
        <v>3</v>
      </c>
      <c r="B10" s="29"/>
      <c r="C10" s="30"/>
      <c r="D10" s="31"/>
      <c r="E10" s="36" t="s">
        <v>55</v>
      </c>
      <c r="F10" s="33"/>
      <c r="G10" s="32"/>
      <c r="H10" s="37"/>
      <c r="I10" s="32"/>
      <c r="J10" s="1"/>
      <c r="K10" s="57"/>
    </row>
    <row r="11" spans="1:11" ht="13.9">
      <c r="A11" s="28">
        <v>4</v>
      </c>
      <c r="B11" s="29"/>
      <c r="C11" s="30"/>
      <c r="D11" s="31"/>
      <c r="E11" s="32"/>
      <c r="F11" s="38"/>
      <c r="G11" s="34"/>
      <c r="H11" s="37"/>
      <c r="I11" s="32"/>
      <c r="J11" s="1"/>
      <c r="K11" s="57"/>
    </row>
    <row r="12" spans="1:11" ht="13.9">
      <c r="A12" s="28">
        <v>5</v>
      </c>
      <c r="B12" s="29"/>
      <c r="C12" s="30"/>
      <c r="D12" s="31"/>
      <c r="E12" s="36"/>
      <c r="F12" s="33"/>
      <c r="G12" s="32"/>
      <c r="H12" s="37"/>
      <c r="I12" s="32"/>
      <c r="J12" s="1"/>
      <c r="K12" s="57"/>
    </row>
    <row r="13" spans="1:11" ht="13.9">
      <c r="A13" s="28">
        <v>6</v>
      </c>
      <c r="B13" s="29"/>
      <c r="C13" s="30"/>
      <c r="D13" s="31"/>
      <c r="E13" s="36"/>
      <c r="F13" s="33"/>
      <c r="G13" s="32"/>
      <c r="H13" s="37"/>
      <c r="I13" s="32"/>
      <c r="J13" s="1"/>
      <c r="K13" s="57"/>
    </row>
    <row r="14" spans="1:11" ht="13.9">
      <c r="A14" s="28">
        <v>7</v>
      </c>
      <c r="B14" s="29"/>
      <c r="C14" s="30"/>
      <c r="D14" s="31"/>
      <c r="E14" s="32"/>
      <c r="F14" s="33"/>
      <c r="G14" s="32"/>
      <c r="H14" s="37"/>
      <c r="I14" s="32"/>
      <c r="J14" s="1"/>
      <c r="K14" s="57"/>
    </row>
    <row r="15" spans="1:11" ht="13.9">
      <c r="A15" s="28">
        <v>8</v>
      </c>
      <c r="B15" s="29"/>
      <c r="C15" s="30"/>
      <c r="D15" s="31"/>
      <c r="E15" s="32"/>
      <c r="F15" s="38"/>
      <c r="G15" s="34"/>
      <c r="H15" s="37"/>
      <c r="I15" s="32"/>
      <c r="J15" s="1"/>
      <c r="K15" s="57"/>
    </row>
    <row r="16" spans="1:11" ht="13.9">
      <c r="A16" s="28">
        <v>9</v>
      </c>
      <c r="B16" s="29"/>
      <c r="C16" s="30"/>
      <c r="D16" s="31"/>
      <c r="E16" s="32"/>
      <c r="F16" s="38"/>
      <c r="G16" s="34"/>
      <c r="H16" s="37"/>
      <c r="I16" s="32"/>
      <c r="J16" s="1"/>
      <c r="K16" s="57"/>
    </row>
    <row r="17" spans="1:11" ht="13.9">
      <c r="A17" s="28">
        <v>10</v>
      </c>
      <c r="B17" s="29"/>
      <c r="C17" s="30"/>
      <c r="D17" s="31"/>
      <c r="E17" s="32"/>
      <c r="F17" s="38"/>
      <c r="G17" s="32"/>
      <c r="H17" s="37"/>
      <c r="I17" s="32"/>
      <c r="J17" s="1"/>
      <c r="K17" s="57"/>
    </row>
    <row r="18" spans="1:11" s="53" customFormat="1" ht="13.9">
      <c r="A18" s="28">
        <v>11</v>
      </c>
      <c r="B18" s="29"/>
      <c r="C18" s="30"/>
      <c r="D18" s="31"/>
      <c r="E18" s="32"/>
      <c r="F18" s="38"/>
      <c r="G18" s="32"/>
      <c r="H18" s="37"/>
      <c r="I18" s="32"/>
      <c r="J18" s="39"/>
      <c r="K18" s="57"/>
    </row>
    <row r="19" spans="1:11" ht="13.9">
      <c r="A19" s="28">
        <v>12</v>
      </c>
      <c r="B19" s="29"/>
      <c r="C19" s="30"/>
      <c r="D19" s="31"/>
      <c r="E19" s="32"/>
      <c r="F19" s="38"/>
      <c r="G19" s="32"/>
      <c r="H19" s="37"/>
      <c r="I19" s="32"/>
      <c r="J19" s="1"/>
      <c r="K19" s="57"/>
    </row>
    <row r="20" spans="1:11" ht="13.9">
      <c r="A20" s="28">
        <v>13</v>
      </c>
      <c r="B20" s="29"/>
      <c r="C20" s="30"/>
      <c r="D20" s="31"/>
      <c r="E20" s="32"/>
      <c r="F20" s="38"/>
      <c r="G20" s="32"/>
      <c r="H20" s="40"/>
      <c r="I20" s="32"/>
      <c r="J20" s="1"/>
      <c r="K20" s="57"/>
    </row>
    <row r="21" spans="1:11" ht="13.9">
      <c r="A21" s="28">
        <v>14</v>
      </c>
      <c r="B21" s="29"/>
      <c r="C21" s="30"/>
      <c r="D21" s="31"/>
      <c r="E21" s="41"/>
      <c r="F21" s="42"/>
      <c r="G21" s="32"/>
      <c r="H21" s="37"/>
      <c r="I21" s="32"/>
      <c r="J21" s="1"/>
      <c r="K21" s="42"/>
    </row>
    <row r="22" spans="1:11" ht="13.9">
      <c r="A22" s="28">
        <v>15</v>
      </c>
      <c r="B22" s="29"/>
      <c r="C22" s="30"/>
      <c r="D22" s="31"/>
      <c r="E22" s="41"/>
      <c r="F22" s="42"/>
      <c r="G22" s="44"/>
      <c r="H22" s="40"/>
      <c r="I22" s="32"/>
      <c r="J22" s="1"/>
      <c r="K22" s="43"/>
    </row>
    <row r="23" spans="1:11" ht="13.9">
      <c r="A23" s="28">
        <v>16</v>
      </c>
      <c r="B23" s="29"/>
      <c r="C23" s="30"/>
      <c r="D23" s="31"/>
      <c r="E23" s="41"/>
      <c r="F23" s="42"/>
      <c r="G23" s="44"/>
      <c r="H23" s="40"/>
      <c r="I23" s="32"/>
      <c r="J23" s="1"/>
      <c r="K23" s="42"/>
    </row>
    <row r="24" spans="1:11" ht="13.9">
      <c r="A24" s="28">
        <v>17</v>
      </c>
      <c r="B24" s="29"/>
      <c r="C24" s="30"/>
      <c r="D24" s="31"/>
      <c r="E24" s="41"/>
      <c r="F24" s="42"/>
      <c r="G24" s="44"/>
      <c r="H24" s="40"/>
      <c r="I24" s="32"/>
      <c r="J24" s="1"/>
      <c r="K24" s="42"/>
    </row>
    <row r="25" spans="1:11" ht="13.9">
      <c r="A25" s="28">
        <v>18</v>
      </c>
      <c r="B25" s="29"/>
      <c r="C25" s="30"/>
      <c r="D25" s="31"/>
      <c r="E25" s="41"/>
      <c r="F25" s="42"/>
      <c r="G25" s="44"/>
      <c r="H25" s="40"/>
      <c r="I25" s="32"/>
      <c r="J25" s="1"/>
      <c r="K25" s="42"/>
    </row>
    <row r="26" spans="1:11" ht="13.9">
      <c r="A26" s="28">
        <v>19</v>
      </c>
      <c r="B26" s="29"/>
      <c r="C26" s="30"/>
      <c r="D26" s="31"/>
      <c r="E26" s="41"/>
      <c r="F26" s="45"/>
      <c r="G26" s="44"/>
      <c r="H26" s="40"/>
      <c r="I26" s="32"/>
      <c r="J26" s="1"/>
      <c r="K26" s="42"/>
    </row>
    <row r="27" spans="1:11" ht="13.9">
      <c r="A27" s="28">
        <v>20</v>
      </c>
      <c r="B27" s="29"/>
      <c r="C27" s="30"/>
      <c r="D27" s="31"/>
      <c r="E27" s="41"/>
      <c r="F27" s="33"/>
      <c r="G27" s="32"/>
      <c r="H27" s="40"/>
      <c r="I27" s="32"/>
      <c r="J27" s="1"/>
      <c r="K27" s="38"/>
    </row>
    <row r="28" spans="1:11" ht="13.9">
      <c r="A28" s="28">
        <v>21</v>
      </c>
      <c r="B28" s="29"/>
      <c r="C28" s="30"/>
      <c r="D28" s="31"/>
      <c r="E28" s="41"/>
      <c r="F28" s="33"/>
      <c r="G28" s="32"/>
      <c r="H28" s="40"/>
      <c r="I28" s="32"/>
      <c r="J28" s="1"/>
      <c r="K28" s="38"/>
    </row>
    <row r="29" spans="1:11" ht="13.9">
      <c r="A29" s="28">
        <v>22</v>
      </c>
      <c r="B29" s="29"/>
      <c r="C29" s="30"/>
      <c r="D29" s="31"/>
      <c r="E29" s="41"/>
      <c r="F29" s="33"/>
      <c r="G29" s="44"/>
      <c r="H29" s="40"/>
      <c r="I29" s="32"/>
      <c r="J29" s="1"/>
      <c r="K29" s="38"/>
    </row>
    <row r="30" spans="1:11" ht="13.9">
      <c r="A30" s="28">
        <v>23</v>
      </c>
      <c r="B30" s="29"/>
      <c r="C30" s="30"/>
      <c r="D30" s="31"/>
      <c r="E30" s="32"/>
      <c r="F30" s="46"/>
      <c r="G30" s="44"/>
      <c r="H30" s="37"/>
      <c r="I30" s="32"/>
      <c r="J30" s="1"/>
      <c r="K30" s="57"/>
    </row>
    <row r="31" spans="1:11" ht="13.9">
      <c r="A31" s="28">
        <v>24</v>
      </c>
      <c r="B31" s="29"/>
      <c r="C31" s="30"/>
      <c r="D31" s="31"/>
      <c r="E31" s="32"/>
      <c r="F31" s="33"/>
      <c r="G31" s="32"/>
      <c r="H31" s="37"/>
      <c r="I31" s="32"/>
      <c r="J31" s="1"/>
      <c r="K31" s="57"/>
    </row>
    <row r="32" spans="1:11" ht="13.9">
      <c r="A32" s="28">
        <v>25</v>
      </c>
      <c r="B32" s="29"/>
      <c r="C32" s="30"/>
      <c r="D32" s="31"/>
      <c r="E32" s="32"/>
      <c r="F32" s="33"/>
      <c r="G32" s="44"/>
      <c r="H32" s="37"/>
      <c r="I32" s="32"/>
      <c r="J32" s="1"/>
      <c r="K32" s="57"/>
    </row>
    <row r="33" spans="1:11" ht="13.9">
      <c r="A33" s="28">
        <v>26</v>
      </c>
      <c r="B33" s="29"/>
      <c r="C33" s="30"/>
      <c r="D33" s="31"/>
      <c r="E33" s="32"/>
      <c r="F33" s="33"/>
      <c r="G33" s="32"/>
      <c r="H33" s="37"/>
      <c r="I33" s="32"/>
      <c r="J33" s="1"/>
      <c r="K33" s="57"/>
    </row>
    <row r="34" spans="1:11" ht="13.9">
      <c r="A34" s="28">
        <v>27</v>
      </c>
      <c r="B34" s="29"/>
      <c r="C34" s="30"/>
      <c r="D34" s="31"/>
      <c r="E34" s="32"/>
      <c r="F34" s="33"/>
      <c r="G34" s="44"/>
      <c r="H34" s="37"/>
      <c r="I34" s="32"/>
      <c r="J34" s="1"/>
      <c r="K34" s="57"/>
    </row>
    <row r="35" spans="1:11" ht="13.9">
      <c r="A35" s="28">
        <v>28</v>
      </c>
      <c r="B35" s="29"/>
      <c r="C35" s="30"/>
      <c r="D35" s="31"/>
      <c r="E35" s="32"/>
      <c r="F35" s="33"/>
      <c r="G35" s="32"/>
      <c r="H35" s="37"/>
      <c r="I35" s="32"/>
      <c r="J35" s="1"/>
      <c r="K35" s="57"/>
    </row>
    <row r="36" spans="1:11" ht="13.9">
      <c r="A36" s="28">
        <v>29</v>
      </c>
      <c r="B36" s="29"/>
      <c r="C36" s="30"/>
      <c r="D36" s="31"/>
      <c r="E36" s="32"/>
      <c r="F36" s="42"/>
      <c r="G36" s="32"/>
      <c r="H36" s="37"/>
      <c r="I36" s="32"/>
      <c r="J36" s="1"/>
      <c r="K36" s="42"/>
    </row>
    <row r="37" spans="1:11" ht="13.9">
      <c r="A37" s="28">
        <v>30</v>
      </c>
      <c r="B37" s="29"/>
      <c r="C37" s="30"/>
      <c r="D37" s="31"/>
      <c r="E37" s="32"/>
      <c r="F37" s="33"/>
      <c r="G37" s="32"/>
      <c r="H37" s="37"/>
      <c r="I37" s="32"/>
      <c r="J37" s="1"/>
      <c r="K37" s="57"/>
    </row>
    <row r="38" spans="1:11" ht="13.9">
      <c r="A38" s="28">
        <v>31</v>
      </c>
      <c r="B38" s="29"/>
      <c r="C38" s="30"/>
      <c r="D38" s="31"/>
      <c r="E38" s="32"/>
      <c r="F38" s="33"/>
      <c r="G38" s="32"/>
      <c r="H38" s="37"/>
      <c r="I38" s="32"/>
      <c r="J38" s="1"/>
      <c r="K38" s="58"/>
    </row>
    <row r="39" spans="1:11" ht="13.9">
      <c r="A39" s="28">
        <v>32</v>
      </c>
      <c r="B39" s="29"/>
      <c r="C39" s="30"/>
      <c r="D39" s="31"/>
      <c r="E39" s="32"/>
      <c r="F39" s="33"/>
      <c r="G39" s="32"/>
      <c r="H39" s="37"/>
      <c r="I39" s="32"/>
      <c r="J39" s="1"/>
      <c r="K39" s="57"/>
    </row>
    <row r="40" spans="1:11" ht="13.9">
      <c r="A40" s="28">
        <v>33</v>
      </c>
      <c r="B40" s="29"/>
      <c r="C40" s="30"/>
      <c r="D40" s="31"/>
      <c r="E40" s="32"/>
      <c r="F40" s="33"/>
      <c r="G40" s="32"/>
      <c r="H40" s="37"/>
      <c r="I40" s="32"/>
      <c r="J40" s="1"/>
      <c r="K40" s="57"/>
    </row>
    <row r="41" spans="1:11" ht="13.9">
      <c r="A41" s="28">
        <v>34</v>
      </c>
      <c r="B41" s="29"/>
      <c r="C41" s="30"/>
      <c r="D41" s="31"/>
      <c r="E41" s="32"/>
      <c r="F41" s="33"/>
      <c r="G41" s="32"/>
      <c r="H41" s="37"/>
      <c r="I41" s="32"/>
      <c r="J41" s="1"/>
      <c r="K41" s="57"/>
    </row>
    <row r="42" spans="1:11" ht="13.9">
      <c r="A42" s="28">
        <v>35</v>
      </c>
      <c r="B42" s="29"/>
      <c r="C42" s="30"/>
      <c r="D42" s="31"/>
      <c r="E42" s="32"/>
      <c r="F42" s="33"/>
      <c r="G42" s="32"/>
      <c r="H42" s="37"/>
      <c r="I42" s="32"/>
      <c r="J42" s="1"/>
      <c r="K42" s="58"/>
    </row>
    <row r="43" spans="1:11" ht="13.9">
      <c r="A43" s="28">
        <v>36</v>
      </c>
      <c r="B43" s="29"/>
      <c r="C43" s="30"/>
      <c r="D43" s="31"/>
      <c r="E43" s="32"/>
      <c r="F43" s="33"/>
      <c r="G43" s="32"/>
      <c r="H43" s="37"/>
      <c r="I43" s="32"/>
      <c r="J43" s="1"/>
      <c r="K43" s="57"/>
    </row>
    <row r="44" spans="1:11" ht="13.9">
      <c r="A44" s="28">
        <v>37</v>
      </c>
      <c r="B44" s="29"/>
      <c r="C44" s="30"/>
      <c r="D44" s="31"/>
      <c r="E44" s="32"/>
      <c r="F44" s="33"/>
      <c r="G44" s="32"/>
      <c r="H44" s="37"/>
      <c r="I44" s="32"/>
      <c r="J44" s="1"/>
      <c r="K44" s="57"/>
    </row>
    <row r="45" spans="1:11" ht="13.9">
      <c r="A45" s="28">
        <v>38</v>
      </c>
      <c r="B45" s="29"/>
      <c r="C45" s="30"/>
      <c r="D45" s="31"/>
      <c r="E45" s="32"/>
      <c r="F45" s="33"/>
      <c r="G45" s="32"/>
      <c r="H45" s="37"/>
      <c r="I45" s="32"/>
      <c r="J45" s="1"/>
      <c r="K45" s="58"/>
    </row>
    <row r="46" spans="1:11" ht="13.9">
      <c r="A46" s="28">
        <v>39</v>
      </c>
      <c r="B46" s="29"/>
      <c r="C46" s="30"/>
      <c r="D46" s="31"/>
      <c r="E46" s="32"/>
      <c r="F46" s="33"/>
      <c r="G46" s="32"/>
      <c r="H46" s="37"/>
      <c r="I46" s="32"/>
      <c r="J46" s="1"/>
      <c r="K46" s="58"/>
    </row>
    <row r="47" spans="1:11" ht="13.9">
      <c r="A47" s="28">
        <v>40</v>
      </c>
      <c r="B47" s="29"/>
      <c r="C47" s="30"/>
      <c r="D47" s="31"/>
      <c r="E47" s="32"/>
      <c r="F47" s="33"/>
      <c r="G47" s="32"/>
      <c r="H47" s="37"/>
      <c r="I47" s="32"/>
      <c r="J47" s="1"/>
      <c r="K47" s="57"/>
    </row>
    <row r="48" spans="1:11" ht="13.9">
      <c r="A48" s="28">
        <v>41</v>
      </c>
      <c r="B48" s="29"/>
      <c r="C48" s="30"/>
      <c r="D48" s="31"/>
      <c r="E48" s="32"/>
      <c r="F48" s="33"/>
      <c r="G48" s="32"/>
      <c r="H48" s="37"/>
      <c r="I48" s="32"/>
      <c r="J48" s="1"/>
      <c r="K48" s="57"/>
    </row>
    <row r="49" spans="1:11" ht="13.9">
      <c r="A49" s="28">
        <v>42</v>
      </c>
      <c r="B49" s="29"/>
      <c r="C49" s="30"/>
      <c r="D49" s="31"/>
      <c r="E49" s="32"/>
      <c r="F49" s="33"/>
      <c r="G49" s="32"/>
      <c r="H49" s="37"/>
      <c r="I49" s="32"/>
      <c r="J49" s="1"/>
      <c r="K49" s="57"/>
    </row>
    <row r="50" spans="1:11" ht="13.9">
      <c r="A50" s="28">
        <v>43</v>
      </c>
      <c r="B50" s="29"/>
      <c r="C50" s="30"/>
      <c r="D50" s="31"/>
      <c r="E50" s="32"/>
      <c r="F50" s="33"/>
      <c r="G50" s="32"/>
      <c r="H50" s="37"/>
      <c r="I50" s="32"/>
      <c r="J50" s="1"/>
      <c r="K50" s="57"/>
    </row>
    <row r="51" spans="1:11" ht="13.9">
      <c r="A51" s="28">
        <v>44</v>
      </c>
      <c r="B51" s="29"/>
      <c r="C51" s="30"/>
      <c r="D51" s="31"/>
      <c r="E51" s="32"/>
      <c r="F51" s="33"/>
      <c r="G51" s="32"/>
      <c r="H51" s="37"/>
      <c r="I51" s="32"/>
      <c r="J51" s="1"/>
      <c r="K51" s="57"/>
    </row>
    <row r="52" spans="1:11" ht="13.9">
      <c r="A52" s="28">
        <v>45</v>
      </c>
      <c r="B52" s="29"/>
      <c r="C52" s="30"/>
      <c r="D52" s="31"/>
      <c r="E52" s="32"/>
      <c r="F52" s="33"/>
      <c r="G52" s="32"/>
      <c r="H52" s="37"/>
      <c r="I52" s="32"/>
      <c r="J52" s="1"/>
      <c r="K52" s="57"/>
    </row>
    <row r="53" spans="1:11" ht="13.9">
      <c r="A53" s="28">
        <v>46</v>
      </c>
      <c r="B53" s="29"/>
      <c r="C53" s="30"/>
      <c r="D53" s="31"/>
      <c r="E53" s="32"/>
      <c r="F53" s="33"/>
      <c r="G53" s="32"/>
      <c r="H53" s="37"/>
      <c r="I53" s="32"/>
      <c r="J53" s="1"/>
      <c r="K53" s="57"/>
    </row>
    <row r="54" spans="1:11" s="54" customFormat="1" ht="13.9">
      <c r="A54" s="28">
        <v>47</v>
      </c>
      <c r="B54" s="28"/>
      <c r="C54" s="47"/>
      <c r="D54" s="31"/>
      <c r="E54" s="41"/>
      <c r="F54" s="42"/>
      <c r="G54" s="32"/>
      <c r="H54" s="40"/>
      <c r="I54" s="32"/>
      <c r="J54" s="2"/>
      <c r="K54" s="42"/>
    </row>
    <row r="55" spans="1:11" s="54" customFormat="1" ht="13.9">
      <c r="A55" s="28">
        <v>48</v>
      </c>
      <c r="B55" s="28"/>
      <c r="C55" s="47"/>
      <c r="D55" s="31"/>
      <c r="E55" s="41"/>
      <c r="F55" s="42"/>
      <c r="G55" s="32"/>
      <c r="H55" s="40"/>
      <c r="I55" s="32"/>
      <c r="J55" s="2"/>
      <c r="K55" s="42"/>
    </row>
    <row r="56" spans="1:11" s="54" customFormat="1" ht="13.9">
      <c r="A56" s="28">
        <v>49</v>
      </c>
      <c r="B56" s="28"/>
      <c r="C56" s="47"/>
      <c r="D56" s="31"/>
      <c r="E56" s="41"/>
      <c r="F56" s="42"/>
      <c r="G56" s="32"/>
      <c r="H56" s="40"/>
      <c r="I56" s="32"/>
      <c r="J56" s="2"/>
      <c r="K56" s="42"/>
    </row>
    <row r="57" spans="1:11" s="54" customFormat="1" ht="13.9">
      <c r="A57" s="28">
        <v>50</v>
      </c>
      <c r="B57" s="28"/>
      <c r="C57" s="47"/>
      <c r="D57" s="31"/>
      <c r="E57" s="41"/>
      <c r="F57" s="42"/>
      <c r="G57" s="44"/>
      <c r="H57" s="40"/>
      <c r="I57" s="32"/>
      <c r="J57" s="2"/>
      <c r="K57" s="42"/>
    </row>
    <row r="58" spans="1:11" s="54" customFormat="1" ht="13.9">
      <c r="A58" s="28">
        <v>51</v>
      </c>
      <c r="B58" s="28"/>
      <c r="C58" s="47"/>
      <c r="D58" s="31"/>
      <c r="E58" s="41"/>
      <c r="F58" s="42"/>
      <c r="G58" s="32"/>
      <c r="H58" s="40"/>
      <c r="I58" s="32"/>
      <c r="J58" s="2"/>
      <c r="K58" s="42"/>
    </row>
    <row r="59" spans="1:11" s="54" customFormat="1" ht="13.9">
      <c r="A59" s="28">
        <v>52</v>
      </c>
      <c r="B59" s="28"/>
      <c r="C59" s="47"/>
      <c r="D59" s="31"/>
      <c r="E59" s="41"/>
      <c r="F59" s="42"/>
      <c r="G59" s="32"/>
      <c r="H59" s="40"/>
      <c r="I59" s="32"/>
      <c r="J59" s="2"/>
      <c r="K59" s="42"/>
    </row>
    <row r="60" spans="1:11" s="54" customFormat="1" ht="13.9">
      <c r="A60" s="28">
        <v>53</v>
      </c>
      <c r="B60" s="28"/>
      <c r="C60" s="47"/>
      <c r="D60" s="31"/>
      <c r="E60" s="41"/>
      <c r="F60" s="42"/>
      <c r="G60" s="44"/>
      <c r="H60" s="40"/>
      <c r="I60" s="32"/>
      <c r="J60" s="2"/>
      <c r="K60" s="42"/>
    </row>
    <row r="61" spans="1:11" s="54" customFormat="1" ht="13.9">
      <c r="A61" s="28">
        <v>54</v>
      </c>
      <c r="B61" s="28"/>
      <c r="C61" s="47"/>
      <c r="D61" s="44"/>
      <c r="E61" s="41"/>
      <c r="F61" s="42"/>
      <c r="G61" s="44"/>
      <c r="H61" s="40"/>
      <c r="I61" s="32"/>
      <c r="J61" s="2"/>
      <c r="K61" s="43"/>
    </row>
    <row r="62" spans="1:11" s="54" customFormat="1" ht="13.9">
      <c r="A62" s="28">
        <v>55</v>
      </c>
      <c r="B62" s="28"/>
      <c r="C62" s="47"/>
      <c r="D62" s="44"/>
      <c r="E62" s="41"/>
      <c r="F62" s="42"/>
      <c r="G62" s="44"/>
      <c r="H62" s="40"/>
      <c r="I62" s="32"/>
      <c r="J62" s="2"/>
      <c r="K62" s="42"/>
    </row>
    <row r="63" spans="1:11" s="54" customFormat="1" ht="13.9">
      <c r="A63" s="28">
        <v>56</v>
      </c>
      <c r="B63" s="28"/>
      <c r="C63" s="47"/>
      <c r="D63" s="44"/>
      <c r="E63" s="41"/>
      <c r="F63" s="42"/>
      <c r="G63" s="44"/>
      <c r="H63" s="40"/>
      <c r="I63" s="32"/>
      <c r="J63" s="2"/>
      <c r="K63" s="42"/>
    </row>
    <row r="64" spans="1:11" s="54" customFormat="1" ht="13.9">
      <c r="A64" s="28">
        <v>57</v>
      </c>
      <c r="B64" s="28"/>
      <c r="C64" s="47"/>
      <c r="D64" s="44"/>
      <c r="E64" s="41"/>
      <c r="F64" s="42"/>
      <c r="G64" s="44"/>
      <c r="H64" s="40"/>
      <c r="I64" s="32"/>
      <c r="J64" s="2"/>
      <c r="K64" s="42"/>
    </row>
    <row r="65" spans="1:11" s="54" customFormat="1" ht="13.9">
      <c r="A65" s="28">
        <v>58</v>
      </c>
      <c r="B65" s="28"/>
      <c r="C65" s="47"/>
      <c r="D65" s="44"/>
      <c r="E65" s="41"/>
      <c r="F65" s="42"/>
      <c r="G65" s="44"/>
      <c r="H65" s="40"/>
      <c r="I65" s="32"/>
      <c r="J65" s="2"/>
      <c r="K65" s="42"/>
    </row>
    <row r="66" spans="1:11" s="54" customFormat="1" ht="13.9">
      <c r="A66" s="28">
        <v>59</v>
      </c>
      <c r="B66" s="28"/>
      <c r="C66" s="47"/>
      <c r="D66" s="44"/>
      <c r="E66" s="41"/>
      <c r="F66" s="42"/>
      <c r="G66" s="44"/>
      <c r="H66" s="40"/>
      <c r="I66" s="32"/>
      <c r="J66" s="2"/>
      <c r="K66" s="42"/>
    </row>
    <row r="67" spans="1:11" s="54" customFormat="1" ht="13.9">
      <c r="A67" s="28">
        <v>60</v>
      </c>
      <c r="B67" s="28"/>
      <c r="C67" s="47"/>
      <c r="D67" s="44"/>
      <c r="E67" s="41"/>
      <c r="F67" s="42"/>
      <c r="G67" s="44"/>
      <c r="H67" s="40"/>
      <c r="I67" s="32"/>
      <c r="J67" s="2"/>
      <c r="K67" s="42"/>
    </row>
    <row r="68" spans="1:11" s="54" customFormat="1" ht="13.9">
      <c r="A68" s="28">
        <v>61</v>
      </c>
      <c r="B68" s="28"/>
      <c r="C68" s="47"/>
      <c r="D68" s="44"/>
      <c r="E68" s="41"/>
      <c r="F68" s="42"/>
      <c r="G68" s="44"/>
      <c r="H68" s="40"/>
      <c r="I68" s="32"/>
      <c r="J68" s="2"/>
      <c r="K68" s="42"/>
    </row>
    <row r="69" spans="1:11" s="54" customFormat="1" ht="13.9">
      <c r="A69" s="28">
        <v>62</v>
      </c>
      <c r="B69" s="28"/>
      <c r="C69" s="47"/>
      <c r="D69" s="44"/>
      <c r="E69" s="41"/>
      <c r="F69" s="42"/>
      <c r="G69" s="44"/>
      <c r="H69" s="40"/>
      <c r="I69" s="32"/>
      <c r="J69" s="2"/>
      <c r="K69" s="42"/>
    </row>
    <row r="70" spans="1:11" s="54" customFormat="1" ht="13.9">
      <c r="A70" s="28">
        <v>63</v>
      </c>
      <c r="B70" s="28"/>
      <c r="C70" s="47"/>
      <c r="D70" s="44"/>
      <c r="E70" s="41"/>
      <c r="F70" s="42"/>
      <c r="G70" s="44"/>
      <c r="H70" s="40"/>
      <c r="I70" s="32"/>
      <c r="J70" s="2"/>
      <c r="K70" s="42"/>
    </row>
    <row r="71" spans="1:11" s="54" customFormat="1" ht="13.9">
      <c r="A71" s="28">
        <v>64</v>
      </c>
      <c r="B71" s="28"/>
      <c r="C71" s="47"/>
      <c r="D71" s="44"/>
      <c r="E71" s="41"/>
      <c r="F71" s="42"/>
      <c r="G71" s="44"/>
      <c r="H71" s="40"/>
      <c r="I71" s="32"/>
      <c r="J71" s="2"/>
      <c r="K71" s="42"/>
    </row>
    <row r="72" spans="1:11" s="54" customFormat="1" ht="13.9">
      <c r="A72" s="28">
        <v>65</v>
      </c>
      <c r="B72" s="28"/>
      <c r="C72" s="47"/>
      <c r="D72" s="44"/>
      <c r="E72" s="41"/>
      <c r="F72" s="42"/>
      <c r="G72" s="44"/>
      <c r="H72" s="40"/>
      <c r="I72" s="32"/>
      <c r="J72" s="2"/>
      <c r="K72" s="42"/>
    </row>
    <row r="73" spans="1:11" s="54" customFormat="1" ht="13.9">
      <c r="A73" s="28">
        <v>66</v>
      </c>
      <c r="B73" s="28"/>
      <c r="C73" s="47"/>
      <c r="D73" s="44"/>
      <c r="E73" s="41"/>
      <c r="F73" s="42"/>
      <c r="G73" s="44"/>
      <c r="H73" s="40"/>
      <c r="I73" s="32"/>
      <c r="J73" s="2"/>
      <c r="K73" s="42"/>
    </row>
    <row r="74" spans="1:11" s="54" customFormat="1" ht="13.9">
      <c r="A74" s="28">
        <v>67</v>
      </c>
      <c r="B74" s="28"/>
      <c r="C74" s="47"/>
      <c r="D74" s="44"/>
      <c r="E74" s="41"/>
      <c r="F74" s="42"/>
      <c r="G74" s="44"/>
      <c r="H74" s="40"/>
      <c r="I74" s="32"/>
      <c r="J74" s="2"/>
      <c r="K74" s="42"/>
    </row>
    <row r="75" spans="1:11" s="54" customFormat="1" ht="13.9">
      <c r="A75" s="28">
        <v>68</v>
      </c>
      <c r="B75" s="28"/>
      <c r="C75" s="47"/>
      <c r="D75" s="44"/>
      <c r="E75" s="41"/>
      <c r="F75" s="42"/>
      <c r="G75" s="44"/>
      <c r="H75" s="40"/>
      <c r="I75" s="32"/>
      <c r="J75" s="2"/>
      <c r="K75" s="42"/>
    </row>
    <row r="76" spans="1:11" s="54" customFormat="1" ht="13.9">
      <c r="A76" s="28">
        <v>69</v>
      </c>
      <c r="B76" s="28"/>
      <c r="C76" s="47"/>
      <c r="D76" s="44"/>
      <c r="E76" s="41"/>
      <c r="F76" s="42"/>
      <c r="G76" s="44"/>
      <c r="H76" s="40"/>
      <c r="I76" s="32"/>
      <c r="J76" s="2"/>
      <c r="K76" s="42"/>
    </row>
    <row r="77" spans="1:11" s="54" customFormat="1" ht="13.9">
      <c r="A77" s="28">
        <v>70</v>
      </c>
      <c r="B77" s="28"/>
      <c r="C77" s="47"/>
      <c r="D77" s="44"/>
      <c r="E77" s="41"/>
      <c r="F77" s="42"/>
      <c r="G77" s="44"/>
      <c r="H77" s="40"/>
      <c r="I77" s="32"/>
      <c r="J77" s="2"/>
      <c r="K77" s="42"/>
    </row>
    <row r="78" spans="1:11" s="54" customFormat="1" ht="13.9">
      <c r="A78" s="28">
        <v>71</v>
      </c>
      <c r="B78" s="28"/>
      <c r="C78" s="47"/>
      <c r="D78" s="44"/>
      <c r="E78" s="41"/>
      <c r="F78" s="42"/>
      <c r="G78" s="44"/>
      <c r="H78" s="40"/>
      <c r="I78" s="32"/>
      <c r="J78" s="2"/>
      <c r="K78" s="42"/>
    </row>
    <row r="79" spans="1:11" s="54" customFormat="1" ht="13.9">
      <c r="A79" s="28">
        <v>72</v>
      </c>
      <c r="B79" s="28"/>
      <c r="C79" s="47"/>
      <c r="D79" s="44"/>
      <c r="E79" s="41"/>
      <c r="F79" s="42"/>
      <c r="G79" s="44"/>
      <c r="H79" s="40"/>
      <c r="I79" s="41"/>
      <c r="J79" s="2"/>
      <c r="K79" s="42"/>
    </row>
    <row r="80" spans="1:11" s="54" customFormat="1" ht="13.9">
      <c r="A80" s="28">
        <v>73</v>
      </c>
      <c r="B80" s="28"/>
      <c r="C80" s="47"/>
      <c r="D80" s="44"/>
      <c r="E80" s="41"/>
      <c r="F80" s="42"/>
      <c r="G80" s="44"/>
      <c r="H80" s="40"/>
      <c r="I80" s="41"/>
      <c r="J80" s="2"/>
      <c r="K80" s="43"/>
    </row>
    <row r="81" spans="1:11" s="54" customFormat="1" ht="13.9">
      <c r="A81" s="28">
        <v>74</v>
      </c>
      <c r="B81" s="28"/>
      <c r="C81" s="47"/>
      <c r="D81" s="44"/>
      <c r="E81" s="41"/>
      <c r="F81" s="42"/>
      <c r="G81" s="44"/>
      <c r="H81" s="40"/>
      <c r="I81" s="41"/>
      <c r="J81" s="2"/>
      <c r="K81" s="42"/>
    </row>
    <row r="82" spans="1:11" s="54" customFormat="1" ht="13.9">
      <c r="A82" s="28">
        <v>75</v>
      </c>
      <c r="B82" s="28"/>
      <c r="C82" s="47"/>
      <c r="D82" s="44"/>
      <c r="E82" s="41"/>
      <c r="F82" s="42"/>
      <c r="G82" s="44"/>
      <c r="H82" s="40"/>
      <c r="I82" s="41"/>
      <c r="J82" s="2"/>
      <c r="K82" s="42"/>
    </row>
    <row r="83" spans="1:11" s="54" customFormat="1" ht="13.9">
      <c r="A83" s="28">
        <v>76</v>
      </c>
      <c r="B83" s="28"/>
      <c r="C83" s="47"/>
      <c r="D83" s="44"/>
      <c r="E83" s="41"/>
      <c r="F83" s="42"/>
      <c r="G83" s="44"/>
      <c r="H83" s="40"/>
      <c r="I83" s="41"/>
      <c r="J83" s="2"/>
      <c r="K83" s="42"/>
    </row>
    <row r="84" spans="1:11" s="54" customFormat="1" ht="13.9">
      <c r="A84" s="28">
        <v>77</v>
      </c>
      <c r="B84" s="28"/>
      <c r="C84" s="47"/>
      <c r="D84" s="44"/>
      <c r="E84" s="41"/>
      <c r="F84" s="42"/>
      <c r="G84" s="44"/>
      <c r="H84" s="40"/>
      <c r="I84" s="41"/>
      <c r="J84" s="2"/>
      <c r="K84" s="42"/>
    </row>
    <row r="85" spans="1:11" s="54" customFormat="1" ht="13.9">
      <c r="A85" s="28">
        <v>78</v>
      </c>
      <c r="B85" s="28"/>
      <c r="C85" s="47"/>
      <c r="D85" s="44"/>
      <c r="E85" s="41"/>
      <c r="F85" s="42"/>
      <c r="G85" s="44"/>
      <c r="H85" s="40"/>
      <c r="I85" s="41"/>
      <c r="J85" s="2"/>
      <c r="K85" s="42"/>
    </row>
    <row r="86" spans="1:11" s="54" customFormat="1" ht="13.9">
      <c r="A86" s="28">
        <v>79</v>
      </c>
      <c r="B86" s="28"/>
      <c r="C86" s="47"/>
      <c r="D86" s="44"/>
      <c r="E86" s="41"/>
      <c r="F86" s="42"/>
      <c r="G86" s="44"/>
      <c r="H86" s="40"/>
      <c r="I86" s="41"/>
      <c r="J86" s="2"/>
      <c r="K86" s="42"/>
    </row>
    <row r="87" spans="1:11" s="54" customFormat="1" ht="13.9">
      <c r="A87" s="28">
        <v>80</v>
      </c>
      <c r="B87" s="28"/>
      <c r="C87" s="47"/>
      <c r="D87" s="44"/>
      <c r="E87" s="41"/>
      <c r="F87" s="42"/>
      <c r="G87" s="44"/>
      <c r="H87" s="40"/>
      <c r="I87" s="41"/>
      <c r="J87" s="2"/>
      <c r="K87" s="42"/>
    </row>
    <row r="88" spans="1:11" s="54" customFormat="1" ht="13.9">
      <c r="A88" s="28">
        <v>81</v>
      </c>
      <c r="B88" s="28"/>
      <c r="C88" s="47"/>
      <c r="D88" s="44"/>
      <c r="E88" s="41"/>
      <c r="F88" s="42"/>
      <c r="G88" s="44"/>
      <c r="H88" s="40"/>
      <c r="I88" s="41"/>
      <c r="J88" s="2"/>
      <c r="K88" s="42"/>
    </row>
    <row r="89" spans="1:11" s="54" customFormat="1" ht="13.9">
      <c r="A89" s="28">
        <v>82</v>
      </c>
      <c r="B89" s="28"/>
      <c r="C89" s="47"/>
      <c r="D89" s="44"/>
      <c r="E89" s="41"/>
      <c r="F89" s="42"/>
      <c r="G89" s="44"/>
      <c r="H89" s="40"/>
      <c r="I89" s="41"/>
      <c r="J89" s="2"/>
      <c r="K89" s="42"/>
    </row>
    <row r="90" spans="1:11" s="54" customFormat="1" ht="13.9">
      <c r="A90" s="28">
        <v>83</v>
      </c>
      <c r="B90" s="28"/>
      <c r="C90" s="47"/>
      <c r="D90" s="44"/>
      <c r="E90" s="41"/>
      <c r="F90" s="42"/>
      <c r="G90" s="44"/>
      <c r="H90" s="40"/>
      <c r="I90" s="41"/>
      <c r="J90" s="2"/>
      <c r="K90" s="42"/>
    </row>
    <row r="91" spans="1:11" s="54" customFormat="1" ht="13.9">
      <c r="A91" s="28">
        <v>84</v>
      </c>
      <c r="B91" s="28"/>
      <c r="C91" s="47"/>
      <c r="D91" s="44"/>
      <c r="E91" s="41"/>
      <c r="F91" s="42"/>
      <c r="G91" s="44"/>
      <c r="H91" s="40"/>
      <c r="I91" s="41"/>
      <c r="J91" s="2"/>
      <c r="K91" s="42"/>
    </row>
    <row r="92" spans="1:11" s="54" customFormat="1" ht="13.9">
      <c r="A92" s="28">
        <v>85</v>
      </c>
      <c r="B92" s="28"/>
      <c r="C92" s="47"/>
      <c r="D92" s="44"/>
      <c r="E92" s="41"/>
      <c r="F92" s="42"/>
      <c r="G92" s="44"/>
      <c r="H92" s="40"/>
      <c r="I92" s="41"/>
      <c r="J92" s="2"/>
      <c r="K92" s="42"/>
    </row>
    <row r="93" spans="1:11" s="54" customFormat="1" ht="13.9">
      <c r="A93" s="28">
        <v>86</v>
      </c>
      <c r="B93" s="28"/>
      <c r="C93" s="47"/>
      <c r="D93" s="44"/>
      <c r="E93" s="41"/>
      <c r="F93" s="42"/>
      <c r="G93" s="44"/>
      <c r="H93" s="40"/>
      <c r="I93" s="41"/>
      <c r="J93" s="2"/>
      <c r="K93" s="42"/>
    </row>
    <row r="94" spans="1:11" s="54" customFormat="1" ht="13.9">
      <c r="A94" s="28">
        <v>87</v>
      </c>
      <c r="B94" s="28"/>
      <c r="C94" s="47"/>
      <c r="D94" s="44"/>
      <c r="E94" s="41"/>
      <c r="F94" s="42"/>
      <c r="G94" s="44"/>
      <c r="H94" s="40"/>
      <c r="I94" s="41"/>
      <c r="J94" s="2"/>
      <c r="K94" s="42"/>
    </row>
    <row r="95" spans="1:11" s="54" customFormat="1" ht="13.9">
      <c r="A95" s="28">
        <v>88</v>
      </c>
      <c r="B95" s="28"/>
      <c r="C95" s="47"/>
      <c r="D95" s="44"/>
      <c r="E95" s="41"/>
      <c r="F95" s="42"/>
      <c r="G95" s="44"/>
      <c r="H95" s="40"/>
      <c r="I95" s="41"/>
      <c r="J95" s="2"/>
      <c r="K95" s="42"/>
    </row>
    <row r="96" spans="1:11" s="54" customFormat="1" ht="13.9">
      <c r="A96" s="28">
        <v>89</v>
      </c>
      <c r="B96" s="28"/>
      <c r="C96" s="47"/>
      <c r="D96" s="44"/>
      <c r="E96" s="41"/>
      <c r="F96" s="42"/>
      <c r="G96" s="44"/>
      <c r="H96" s="40"/>
      <c r="I96" s="41"/>
      <c r="J96" s="2"/>
      <c r="K96" s="42"/>
    </row>
    <row r="97" spans="1:11" s="54" customFormat="1" ht="13.9">
      <c r="A97" s="28">
        <v>90</v>
      </c>
      <c r="B97" s="28"/>
      <c r="C97" s="47"/>
      <c r="D97" s="44"/>
      <c r="E97" s="41"/>
      <c r="F97" s="42"/>
      <c r="G97" s="44"/>
      <c r="H97" s="40"/>
      <c r="I97" s="41"/>
      <c r="J97" s="2"/>
      <c r="K97" s="42"/>
    </row>
    <row r="98" spans="1:11" s="54" customFormat="1" ht="13.9">
      <c r="A98" s="28">
        <v>91</v>
      </c>
      <c r="B98" s="28"/>
      <c r="C98" s="47"/>
      <c r="D98" s="44"/>
      <c r="E98" s="41"/>
      <c r="F98" s="42"/>
      <c r="G98" s="44"/>
      <c r="H98" s="40"/>
      <c r="I98" s="41"/>
      <c r="J98" s="2"/>
      <c r="K98" s="42"/>
    </row>
    <row r="99" spans="1:11" s="54" customFormat="1" ht="13.9">
      <c r="A99" s="28">
        <v>92</v>
      </c>
      <c r="B99" s="28"/>
      <c r="C99" s="47"/>
      <c r="D99" s="44"/>
      <c r="E99" s="41"/>
      <c r="F99" s="42"/>
      <c r="G99" s="44"/>
      <c r="H99" s="40"/>
      <c r="I99" s="41"/>
      <c r="J99" s="2"/>
      <c r="K99" s="42"/>
    </row>
    <row r="100" spans="1:11" s="54" customFormat="1" ht="13.9">
      <c r="A100" s="28">
        <v>93</v>
      </c>
      <c r="B100" s="28"/>
      <c r="C100" s="47"/>
      <c r="D100" s="44"/>
      <c r="E100" s="41"/>
      <c r="F100" s="42"/>
      <c r="G100" s="44"/>
      <c r="H100" s="40"/>
      <c r="I100" s="41"/>
      <c r="J100" s="2"/>
      <c r="K100" s="42"/>
    </row>
    <row r="101" spans="1:11" s="54" customFormat="1" ht="13.9">
      <c r="A101" s="28">
        <v>94</v>
      </c>
      <c r="B101" s="28"/>
      <c r="C101" s="47"/>
      <c r="D101" s="44"/>
      <c r="E101" s="41"/>
      <c r="F101" s="42"/>
      <c r="G101" s="44"/>
      <c r="H101" s="40"/>
      <c r="I101" s="41"/>
      <c r="J101" s="2"/>
      <c r="K101" s="42"/>
    </row>
    <row r="102" spans="1:11" s="54" customFormat="1" ht="13.9">
      <c r="A102" s="28">
        <v>95</v>
      </c>
      <c r="B102" s="28"/>
      <c r="C102" s="47"/>
      <c r="D102" s="44"/>
      <c r="E102" s="41"/>
      <c r="F102" s="42"/>
      <c r="G102" s="44"/>
      <c r="H102" s="40"/>
      <c r="I102" s="41"/>
      <c r="J102" s="2"/>
      <c r="K102" s="42"/>
    </row>
    <row r="103" spans="1:11" s="54" customFormat="1" ht="13.9">
      <c r="A103" s="28">
        <v>96</v>
      </c>
      <c r="B103" s="28"/>
      <c r="C103" s="47"/>
      <c r="D103" s="44"/>
      <c r="E103" s="41"/>
      <c r="F103" s="42"/>
      <c r="G103" s="44"/>
      <c r="H103" s="40"/>
      <c r="I103" s="41"/>
      <c r="J103" s="2"/>
      <c r="K103" s="42"/>
    </row>
    <row r="104" spans="1:11" s="54" customFormat="1" ht="13.9">
      <c r="A104" s="28">
        <v>97</v>
      </c>
      <c r="B104" s="28"/>
      <c r="C104" s="47"/>
      <c r="D104" s="44"/>
      <c r="E104" s="41"/>
      <c r="F104" s="42"/>
      <c r="G104" s="44"/>
      <c r="H104" s="40"/>
      <c r="I104" s="41"/>
      <c r="J104" s="2"/>
      <c r="K104" s="42"/>
    </row>
    <row r="105" spans="1:11" s="54" customFormat="1" ht="13.9">
      <c r="A105" s="28">
        <v>98</v>
      </c>
      <c r="B105" s="28"/>
      <c r="C105" s="47"/>
      <c r="D105" s="44"/>
      <c r="E105" s="41"/>
      <c r="F105" s="42"/>
      <c r="G105" s="44"/>
      <c r="H105" s="40"/>
      <c r="I105" s="41"/>
      <c r="J105" s="2"/>
      <c r="K105" s="42"/>
    </row>
    <row r="106" spans="1:11" s="54" customFormat="1" ht="13.9">
      <c r="A106" s="28">
        <v>99</v>
      </c>
      <c r="B106" s="28"/>
      <c r="C106" s="47"/>
      <c r="D106" s="44"/>
      <c r="E106" s="41"/>
      <c r="F106" s="42"/>
      <c r="G106" s="44"/>
      <c r="H106" s="40"/>
      <c r="I106" s="41"/>
      <c r="J106" s="2"/>
      <c r="K106" s="42"/>
    </row>
    <row r="107" spans="1:11" s="54" customFormat="1" ht="13.9">
      <c r="A107" s="28">
        <v>100</v>
      </c>
      <c r="B107" s="28"/>
      <c r="C107" s="47"/>
      <c r="D107" s="44"/>
      <c r="E107" s="41"/>
      <c r="F107" s="42"/>
      <c r="G107" s="44"/>
      <c r="H107" s="40"/>
      <c r="I107" s="41"/>
      <c r="J107" s="2"/>
      <c r="K107" s="42"/>
    </row>
    <row r="108" spans="1:11" s="54" customFormat="1" ht="13.9">
      <c r="A108" s="28">
        <v>101</v>
      </c>
      <c r="B108" s="28"/>
      <c r="C108" s="47"/>
      <c r="D108" s="44"/>
      <c r="E108" s="41"/>
      <c r="F108" s="42"/>
      <c r="G108" s="44"/>
      <c r="H108" s="40"/>
      <c r="I108" s="41"/>
      <c r="J108" s="2"/>
      <c r="K108" s="42"/>
    </row>
    <row r="109" spans="1:11" s="54" customFormat="1" ht="13.9">
      <c r="A109" s="28">
        <v>102</v>
      </c>
      <c r="B109" s="28"/>
      <c r="C109" s="47"/>
      <c r="D109" s="44"/>
      <c r="E109" s="41"/>
      <c r="F109" s="42"/>
      <c r="G109" s="44"/>
      <c r="H109" s="40"/>
      <c r="I109" s="41"/>
      <c r="J109" s="2"/>
      <c r="K109" s="42"/>
    </row>
    <row r="110" spans="1:11" s="54" customFormat="1" ht="13.9">
      <c r="A110" s="28">
        <v>103</v>
      </c>
      <c r="B110" s="28"/>
      <c r="C110" s="47"/>
      <c r="D110" s="44"/>
      <c r="E110" s="41"/>
      <c r="F110" s="42"/>
      <c r="G110" s="44"/>
      <c r="H110" s="40"/>
      <c r="I110" s="41"/>
      <c r="J110" s="2"/>
      <c r="K110" s="42"/>
    </row>
    <row r="111" spans="1:11" s="54" customFormat="1" ht="13.9">
      <c r="A111" s="28">
        <v>104</v>
      </c>
      <c r="B111" s="28"/>
      <c r="C111" s="47"/>
      <c r="D111" s="44"/>
      <c r="E111" s="41"/>
      <c r="F111" s="42"/>
      <c r="G111" s="44"/>
      <c r="H111" s="40"/>
      <c r="I111" s="41"/>
      <c r="J111" s="2"/>
      <c r="K111" s="42"/>
    </row>
    <row r="112" spans="1:11" s="54" customFormat="1" ht="13.9">
      <c r="A112" s="28">
        <v>105</v>
      </c>
      <c r="B112" s="28"/>
      <c r="C112" s="47"/>
      <c r="D112" s="44"/>
      <c r="E112" s="41"/>
      <c r="F112" s="42"/>
      <c r="G112" s="44"/>
      <c r="H112" s="40"/>
      <c r="I112" s="41"/>
      <c r="J112" s="2"/>
      <c r="K112" s="42"/>
    </row>
    <row r="113" spans="1:11" s="54" customFormat="1" ht="13.9">
      <c r="A113" s="28">
        <v>106</v>
      </c>
      <c r="B113" s="28"/>
      <c r="C113" s="47"/>
      <c r="D113" s="44"/>
      <c r="E113" s="41"/>
      <c r="F113" s="42"/>
      <c r="G113" s="44"/>
      <c r="H113" s="40"/>
      <c r="I113" s="41"/>
      <c r="J113" s="2"/>
      <c r="K113" s="42"/>
    </row>
    <row r="114" spans="1:11" s="54" customFormat="1" ht="13.9">
      <c r="A114" s="28">
        <v>107</v>
      </c>
      <c r="B114" s="28"/>
      <c r="C114" s="47"/>
      <c r="D114" s="44"/>
      <c r="E114" s="41"/>
      <c r="F114" s="42"/>
      <c r="G114" s="44"/>
      <c r="H114" s="40"/>
      <c r="I114" s="41"/>
      <c r="J114" s="2"/>
      <c r="K114" s="42"/>
    </row>
    <row r="115" spans="1:11" s="54" customFormat="1" ht="13.9">
      <c r="A115" s="28">
        <v>108</v>
      </c>
      <c r="B115" s="28"/>
      <c r="C115" s="47"/>
      <c r="D115" s="44"/>
      <c r="E115" s="41"/>
      <c r="F115" s="42"/>
      <c r="G115" s="44"/>
      <c r="H115" s="40"/>
      <c r="I115" s="41"/>
      <c r="J115" s="2"/>
      <c r="K115" s="42"/>
    </row>
    <row r="116" spans="1:11" s="54" customFormat="1" ht="13.9">
      <c r="A116" s="28">
        <v>109</v>
      </c>
      <c r="B116" s="28"/>
      <c r="C116" s="47"/>
      <c r="D116" s="44"/>
      <c r="E116" s="41"/>
      <c r="F116" s="42"/>
      <c r="G116" s="44"/>
      <c r="H116" s="40"/>
      <c r="I116" s="41"/>
      <c r="J116" s="2"/>
      <c r="K116" s="42"/>
    </row>
    <row r="117" spans="1:11" s="54" customFormat="1" ht="13.9">
      <c r="A117" s="28">
        <v>110</v>
      </c>
      <c r="B117" s="28"/>
      <c r="C117" s="47"/>
      <c r="D117" s="44"/>
      <c r="E117" s="41"/>
      <c r="F117" s="42"/>
      <c r="G117" s="44"/>
      <c r="H117" s="40"/>
      <c r="I117" s="41"/>
      <c r="J117" s="2"/>
      <c r="K117" s="42"/>
    </row>
    <row r="118" spans="1:11" s="54" customFormat="1" ht="13.9">
      <c r="A118" s="28">
        <v>111</v>
      </c>
      <c r="B118" s="28"/>
      <c r="C118" s="47"/>
      <c r="D118" s="44"/>
      <c r="E118" s="41"/>
      <c r="F118" s="42"/>
      <c r="G118" s="44"/>
      <c r="H118" s="40"/>
      <c r="I118" s="41"/>
      <c r="J118" s="2"/>
      <c r="K118" s="42"/>
    </row>
    <row r="119" spans="1:11" s="54" customFormat="1" ht="13.9">
      <c r="A119" s="28">
        <v>112</v>
      </c>
      <c r="B119" s="28"/>
      <c r="C119" s="47"/>
      <c r="D119" s="44"/>
      <c r="E119" s="41"/>
      <c r="F119" s="42"/>
      <c r="G119" s="44"/>
      <c r="H119" s="40"/>
      <c r="I119" s="41"/>
      <c r="J119" s="2"/>
      <c r="K119" s="42"/>
    </row>
    <row r="120" spans="1:11" s="54" customFormat="1" ht="13.9">
      <c r="A120" s="28">
        <v>113</v>
      </c>
      <c r="B120" s="28"/>
      <c r="C120" s="47"/>
      <c r="D120" s="44"/>
      <c r="E120" s="41"/>
      <c r="F120" s="42"/>
      <c r="G120" s="44"/>
      <c r="H120" s="40"/>
      <c r="I120" s="41"/>
      <c r="J120" s="2"/>
      <c r="K120" s="42"/>
    </row>
    <row r="121" spans="1:11" s="54" customFormat="1" ht="13.9">
      <c r="A121" s="28">
        <v>114</v>
      </c>
      <c r="B121" s="28"/>
      <c r="C121" s="47"/>
      <c r="D121" s="44"/>
      <c r="E121" s="41"/>
      <c r="F121" s="42"/>
      <c r="G121" s="44"/>
      <c r="H121" s="40"/>
      <c r="I121" s="41"/>
      <c r="J121" s="2"/>
      <c r="K121" s="42"/>
    </row>
    <row r="122" spans="1:11" s="54" customFormat="1" ht="13.9">
      <c r="A122" s="28">
        <v>115</v>
      </c>
      <c r="B122" s="28"/>
      <c r="C122" s="47"/>
      <c r="D122" s="44"/>
      <c r="E122" s="41"/>
      <c r="F122" s="42"/>
      <c r="G122" s="44"/>
      <c r="H122" s="40"/>
      <c r="I122" s="41"/>
      <c r="J122" s="2"/>
      <c r="K122" s="42"/>
    </row>
    <row r="123" spans="1:11" s="54" customFormat="1" ht="13.9">
      <c r="A123" s="28">
        <v>116</v>
      </c>
      <c r="B123" s="28"/>
      <c r="C123" s="47"/>
      <c r="D123" s="44"/>
      <c r="E123" s="41"/>
      <c r="F123" s="42"/>
      <c r="G123" s="44"/>
      <c r="H123" s="40"/>
      <c r="I123" s="41"/>
      <c r="J123" s="2"/>
      <c r="K123" s="42"/>
    </row>
    <row r="124" spans="1:11" s="54" customFormat="1" ht="13.9">
      <c r="A124" s="28">
        <v>117</v>
      </c>
      <c r="B124" s="28"/>
      <c r="C124" s="47"/>
      <c r="D124" s="44"/>
      <c r="E124" s="41"/>
      <c r="F124" s="42"/>
      <c r="G124" s="44"/>
      <c r="H124" s="40"/>
      <c r="I124" s="41"/>
      <c r="J124" s="2"/>
      <c r="K124" s="42"/>
    </row>
    <row r="125" spans="1:11" s="54" customFormat="1" ht="13.9">
      <c r="A125" s="28">
        <v>118</v>
      </c>
      <c r="B125" s="28"/>
      <c r="C125" s="47"/>
      <c r="D125" s="44"/>
      <c r="E125" s="41"/>
      <c r="F125" s="42"/>
      <c r="G125" s="44"/>
      <c r="H125" s="40"/>
      <c r="I125" s="41"/>
      <c r="J125" s="2"/>
      <c r="K125" s="42"/>
    </row>
    <row r="126" spans="1:11" s="54" customFormat="1" ht="13.9">
      <c r="A126" s="28">
        <v>119</v>
      </c>
      <c r="B126" s="28"/>
      <c r="C126" s="47"/>
      <c r="D126" s="44"/>
      <c r="E126" s="41"/>
      <c r="F126" s="42"/>
      <c r="G126" s="44"/>
      <c r="H126" s="40"/>
      <c r="I126" s="41"/>
      <c r="J126" s="2"/>
      <c r="K126" s="42"/>
    </row>
    <row r="127" spans="1:11" s="54" customFormat="1" ht="13.9">
      <c r="A127" s="28">
        <v>120</v>
      </c>
      <c r="B127" s="28"/>
      <c r="C127" s="47"/>
      <c r="D127" s="44"/>
      <c r="E127" s="41"/>
      <c r="F127" s="42"/>
      <c r="G127" s="44"/>
      <c r="H127" s="40"/>
      <c r="I127" s="41"/>
      <c r="J127" s="2"/>
      <c r="K127" s="42"/>
    </row>
    <row r="128" spans="1:11" s="54" customFormat="1" ht="13.9">
      <c r="A128" s="28">
        <v>121</v>
      </c>
      <c r="B128" s="28"/>
      <c r="C128" s="47"/>
      <c r="D128" s="44"/>
      <c r="E128" s="41"/>
      <c r="F128" s="42"/>
      <c r="G128" s="44"/>
      <c r="H128" s="40"/>
      <c r="I128" s="41"/>
      <c r="J128" s="2"/>
      <c r="K128" s="42"/>
    </row>
    <row r="129" spans="1:11" s="54" customFormat="1" ht="13.9">
      <c r="A129" s="28">
        <v>122</v>
      </c>
      <c r="B129" s="28"/>
      <c r="C129" s="47"/>
      <c r="D129" s="44"/>
      <c r="E129" s="41"/>
      <c r="F129" s="42"/>
      <c r="G129" s="44"/>
      <c r="H129" s="40"/>
      <c r="I129" s="41"/>
      <c r="J129" s="2"/>
      <c r="K129" s="42"/>
    </row>
    <row r="130" spans="1:11" s="54" customFormat="1" ht="13.9">
      <c r="A130" s="28">
        <v>123</v>
      </c>
      <c r="B130" s="28"/>
      <c r="C130" s="47"/>
      <c r="D130" s="44"/>
      <c r="E130" s="41"/>
      <c r="F130" s="42"/>
      <c r="G130" s="44"/>
      <c r="H130" s="40"/>
      <c r="I130" s="41"/>
      <c r="J130" s="2"/>
      <c r="K130" s="42"/>
    </row>
    <row r="131" spans="1:11" s="54" customFormat="1" ht="13.9">
      <c r="A131" s="28">
        <v>124</v>
      </c>
      <c r="B131" s="28"/>
      <c r="C131" s="47"/>
      <c r="D131" s="44"/>
      <c r="E131" s="41"/>
      <c r="F131" s="42"/>
      <c r="G131" s="44"/>
      <c r="H131" s="40"/>
      <c r="I131" s="41"/>
      <c r="J131" s="2"/>
      <c r="K131" s="42"/>
    </row>
    <row r="132" spans="1:11" s="54" customFormat="1" ht="13.9">
      <c r="A132" s="28">
        <v>125</v>
      </c>
      <c r="B132" s="28"/>
      <c r="C132" s="47"/>
      <c r="D132" s="44"/>
      <c r="E132" s="41"/>
      <c r="F132" s="42"/>
      <c r="G132" s="44"/>
      <c r="H132" s="40"/>
      <c r="I132" s="41"/>
      <c r="J132" s="2"/>
      <c r="K132" s="42"/>
    </row>
    <row r="133" spans="1:11" s="54" customFormat="1" ht="13.9">
      <c r="A133" s="28">
        <v>126</v>
      </c>
      <c r="B133" s="28"/>
      <c r="C133" s="47"/>
      <c r="D133" s="44"/>
      <c r="E133" s="41"/>
      <c r="F133" s="42"/>
      <c r="G133" s="44"/>
      <c r="H133" s="40"/>
      <c r="I133" s="41"/>
      <c r="J133" s="2"/>
      <c r="K133" s="42"/>
    </row>
    <row r="134" spans="1:11" s="54" customFormat="1" ht="13.9">
      <c r="A134" s="28">
        <v>127</v>
      </c>
      <c r="B134" s="28"/>
      <c r="C134" s="47"/>
      <c r="D134" s="44"/>
      <c r="E134" s="41"/>
      <c r="F134" s="42"/>
      <c r="G134" s="44"/>
      <c r="H134" s="40"/>
      <c r="I134" s="41"/>
      <c r="J134" s="2"/>
      <c r="K134" s="42"/>
    </row>
    <row r="135" spans="1:11" s="54" customFormat="1" ht="13.9">
      <c r="A135" s="28">
        <v>128</v>
      </c>
      <c r="B135" s="28"/>
      <c r="C135" s="47"/>
      <c r="D135" s="44"/>
      <c r="E135" s="41"/>
      <c r="F135" s="42"/>
      <c r="G135" s="44"/>
      <c r="H135" s="40"/>
      <c r="I135" s="41"/>
      <c r="J135" s="2"/>
      <c r="K135" s="42"/>
    </row>
    <row r="136" spans="1:11" s="54" customFormat="1" ht="13.9">
      <c r="A136" s="28">
        <v>129</v>
      </c>
      <c r="B136" s="28"/>
      <c r="C136" s="47"/>
      <c r="D136" s="44"/>
      <c r="E136" s="41"/>
      <c r="F136" s="42"/>
      <c r="G136" s="44"/>
      <c r="H136" s="40"/>
      <c r="I136" s="41"/>
      <c r="J136" s="2"/>
      <c r="K136" s="42"/>
    </row>
    <row r="137" spans="1:11" s="54" customFormat="1" ht="13.9">
      <c r="A137" s="28">
        <v>130</v>
      </c>
      <c r="B137" s="28"/>
      <c r="C137" s="47"/>
      <c r="D137" s="44"/>
      <c r="E137" s="41"/>
      <c r="F137" s="42"/>
      <c r="G137" s="44"/>
      <c r="H137" s="40"/>
      <c r="I137" s="41"/>
      <c r="J137" s="2"/>
      <c r="K137" s="42"/>
    </row>
    <row r="138" spans="1:11" s="54" customFormat="1" ht="13.9">
      <c r="A138" s="28">
        <v>131</v>
      </c>
      <c r="B138" s="28"/>
      <c r="C138" s="47"/>
      <c r="D138" s="44"/>
      <c r="E138" s="41"/>
      <c r="F138" s="42"/>
      <c r="G138" s="44"/>
      <c r="H138" s="40"/>
      <c r="I138" s="41"/>
      <c r="J138" s="2"/>
      <c r="K138" s="42"/>
    </row>
    <row r="139" spans="1:11" s="54" customFormat="1" ht="13.9">
      <c r="A139" s="28">
        <v>132</v>
      </c>
      <c r="B139" s="28"/>
      <c r="C139" s="47"/>
      <c r="D139" s="44"/>
      <c r="E139" s="41"/>
      <c r="F139" s="42"/>
      <c r="G139" s="44"/>
      <c r="H139" s="40"/>
      <c r="I139" s="41"/>
      <c r="J139" s="2"/>
      <c r="K139" s="42"/>
    </row>
    <row r="140" spans="1:11" s="54" customFormat="1" ht="13.9">
      <c r="A140" s="28">
        <v>133</v>
      </c>
      <c r="B140" s="28"/>
      <c r="C140" s="47"/>
      <c r="D140" s="44"/>
      <c r="E140" s="41"/>
      <c r="F140" s="42"/>
      <c r="G140" s="44"/>
      <c r="H140" s="40"/>
      <c r="I140" s="41"/>
      <c r="J140" s="2"/>
      <c r="K140" s="42"/>
    </row>
    <row r="141" spans="1:11" s="54" customFormat="1" ht="13.9">
      <c r="A141" s="28">
        <v>134</v>
      </c>
      <c r="B141" s="28"/>
      <c r="C141" s="47"/>
      <c r="D141" s="44"/>
      <c r="E141" s="41"/>
      <c r="F141" s="42"/>
      <c r="G141" s="44"/>
      <c r="H141" s="40"/>
      <c r="I141" s="41"/>
      <c r="J141" s="2"/>
      <c r="K141" s="42"/>
    </row>
    <row r="142" spans="1:11" s="54" customFormat="1" ht="13.9">
      <c r="A142" s="28">
        <v>135</v>
      </c>
      <c r="B142" s="28"/>
      <c r="C142" s="47"/>
      <c r="D142" s="44"/>
      <c r="E142" s="41"/>
      <c r="F142" s="42"/>
      <c r="G142" s="44"/>
      <c r="H142" s="40"/>
      <c r="I142" s="41"/>
      <c r="J142" s="2"/>
      <c r="K142" s="42"/>
    </row>
    <row r="143" spans="1:11" s="54" customFormat="1" ht="13.9">
      <c r="A143" s="28">
        <v>136</v>
      </c>
      <c r="B143" s="28"/>
      <c r="C143" s="47"/>
      <c r="D143" s="44"/>
      <c r="E143" s="41"/>
      <c r="F143" s="42"/>
      <c r="G143" s="44"/>
      <c r="H143" s="40"/>
      <c r="I143" s="41"/>
      <c r="J143" s="2"/>
      <c r="K143" s="42"/>
    </row>
    <row r="144" spans="1:11" s="54" customFormat="1" ht="13.9">
      <c r="A144" s="28">
        <v>137</v>
      </c>
      <c r="B144" s="28"/>
      <c r="C144" s="47"/>
      <c r="D144" s="44"/>
      <c r="E144" s="41"/>
      <c r="F144" s="42"/>
      <c r="G144" s="44"/>
      <c r="H144" s="40"/>
      <c r="I144" s="41"/>
      <c r="J144" s="2"/>
      <c r="K144" s="42"/>
    </row>
    <row r="145" spans="1:11" s="54" customFormat="1" ht="13.9">
      <c r="A145" s="28">
        <v>138</v>
      </c>
      <c r="B145" s="28"/>
      <c r="C145" s="47"/>
      <c r="D145" s="44"/>
      <c r="E145" s="41"/>
      <c r="F145" s="42"/>
      <c r="G145" s="44"/>
      <c r="H145" s="40"/>
      <c r="I145" s="41"/>
      <c r="J145" s="2"/>
      <c r="K145" s="42"/>
    </row>
    <row r="146" spans="1:11" s="54" customFormat="1" ht="13.9">
      <c r="A146" s="28">
        <v>139</v>
      </c>
      <c r="B146" s="28"/>
      <c r="C146" s="47"/>
      <c r="D146" s="44"/>
      <c r="E146" s="41"/>
      <c r="F146" s="42"/>
      <c r="G146" s="44"/>
      <c r="H146" s="40"/>
      <c r="I146" s="41"/>
      <c r="J146" s="2"/>
      <c r="K146" s="42"/>
    </row>
    <row r="147" spans="1:11" s="54" customFormat="1" ht="13.9">
      <c r="A147" s="28">
        <v>140</v>
      </c>
      <c r="B147" s="28"/>
      <c r="C147" s="47"/>
      <c r="D147" s="44"/>
      <c r="E147" s="41"/>
      <c r="F147" s="42"/>
      <c r="G147" s="44"/>
      <c r="H147" s="40"/>
      <c r="I147" s="41"/>
      <c r="J147" s="2"/>
      <c r="K147" s="42"/>
    </row>
    <row r="148" spans="1:11" s="54" customFormat="1" ht="13.9">
      <c r="A148" s="28">
        <v>141</v>
      </c>
      <c r="B148" s="28"/>
      <c r="C148" s="47"/>
      <c r="D148" s="44"/>
      <c r="E148" s="41"/>
      <c r="F148" s="42"/>
      <c r="G148" s="44"/>
      <c r="H148" s="40"/>
      <c r="I148" s="41"/>
      <c r="J148" s="2"/>
      <c r="K148" s="42"/>
    </row>
    <row r="149" spans="1:11" s="54" customFormat="1" ht="13.9">
      <c r="A149" s="28">
        <v>142</v>
      </c>
      <c r="B149" s="28"/>
      <c r="C149" s="47"/>
      <c r="D149" s="44"/>
      <c r="E149" s="41"/>
      <c r="F149" s="42"/>
      <c r="G149" s="44"/>
      <c r="H149" s="40"/>
      <c r="I149" s="41"/>
      <c r="J149" s="2"/>
      <c r="K149" s="42"/>
    </row>
    <row r="150" spans="1:11" s="54" customFormat="1" ht="13.9">
      <c r="A150" s="28">
        <v>143</v>
      </c>
      <c r="B150" s="28"/>
      <c r="C150" s="47"/>
      <c r="D150" s="44"/>
      <c r="E150" s="41"/>
      <c r="F150" s="42"/>
      <c r="G150" s="44"/>
      <c r="H150" s="40"/>
      <c r="I150" s="41"/>
      <c r="J150" s="2"/>
      <c r="K150" s="42"/>
    </row>
    <row r="151" spans="1:11" s="54" customFormat="1" ht="13.9">
      <c r="A151" s="28">
        <v>144</v>
      </c>
      <c r="B151" s="28"/>
      <c r="C151" s="47"/>
      <c r="D151" s="44"/>
      <c r="E151" s="41"/>
      <c r="F151" s="42"/>
      <c r="G151" s="44"/>
      <c r="H151" s="40"/>
      <c r="I151" s="41"/>
      <c r="J151" s="2"/>
      <c r="K151" s="42"/>
    </row>
    <row r="152" spans="1:11" s="54" customFormat="1" ht="13.9">
      <c r="A152" s="28">
        <v>145</v>
      </c>
      <c r="B152" s="28"/>
      <c r="C152" s="47"/>
      <c r="D152" s="44"/>
      <c r="E152" s="41"/>
      <c r="F152" s="42"/>
      <c r="G152" s="44"/>
      <c r="H152" s="40"/>
      <c r="I152" s="41"/>
      <c r="J152" s="2"/>
      <c r="K152" s="42"/>
    </row>
    <row r="153" spans="1:11" s="54" customFormat="1" ht="13.9">
      <c r="A153" s="28">
        <v>146</v>
      </c>
      <c r="B153" s="28"/>
      <c r="C153" s="47"/>
      <c r="D153" s="44"/>
      <c r="E153" s="41"/>
      <c r="F153" s="42"/>
      <c r="G153" s="44"/>
      <c r="H153" s="40"/>
      <c r="I153" s="41"/>
      <c r="J153" s="2"/>
      <c r="K153" s="42"/>
    </row>
    <row r="154" spans="1:11" s="54" customFormat="1" ht="13.9">
      <c r="A154" s="28">
        <v>147</v>
      </c>
      <c r="B154" s="28"/>
      <c r="C154" s="47"/>
      <c r="D154" s="44"/>
      <c r="E154" s="41"/>
      <c r="F154" s="42"/>
      <c r="G154" s="44"/>
      <c r="H154" s="40"/>
      <c r="I154" s="41"/>
      <c r="J154" s="2"/>
      <c r="K154" s="42"/>
    </row>
    <row r="155" spans="1:11" s="54" customFormat="1" ht="13.9">
      <c r="A155" s="28">
        <v>148</v>
      </c>
      <c r="B155" s="28"/>
      <c r="C155" s="47"/>
      <c r="D155" s="44"/>
      <c r="E155" s="41"/>
      <c r="F155" s="42"/>
      <c r="G155" s="44"/>
      <c r="H155" s="40"/>
      <c r="I155" s="41"/>
      <c r="J155" s="2"/>
      <c r="K155" s="42"/>
    </row>
    <row r="156" spans="1:11" s="54" customFormat="1" ht="13.9">
      <c r="A156" s="28">
        <v>149</v>
      </c>
      <c r="B156" s="28"/>
      <c r="C156" s="47"/>
      <c r="D156" s="44"/>
      <c r="E156" s="41"/>
      <c r="F156" s="42"/>
      <c r="G156" s="44"/>
      <c r="H156" s="40"/>
      <c r="I156" s="41"/>
      <c r="J156" s="2"/>
      <c r="K156" s="42"/>
    </row>
    <row r="157" spans="1:11" s="54" customFormat="1" ht="13.9">
      <c r="A157" s="28">
        <v>150</v>
      </c>
      <c r="B157" s="28"/>
      <c r="C157" s="47"/>
      <c r="D157" s="44"/>
      <c r="E157" s="41"/>
      <c r="F157" s="42"/>
      <c r="G157" s="44"/>
      <c r="H157" s="40"/>
      <c r="I157" s="41"/>
      <c r="J157" s="2"/>
      <c r="K157" s="42"/>
    </row>
    <row r="158" spans="1:11" s="54" customFormat="1" ht="13.9">
      <c r="A158" s="28">
        <v>151</v>
      </c>
      <c r="B158" s="28"/>
      <c r="C158" s="47"/>
      <c r="D158" s="44"/>
      <c r="E158" s="41"/>
      <c r="F158" s="42"/>
      <c r="G158" s="44"/>
      <c r="H158" s="40"/>
      <c r="I158" s="41"/>
      <c r="J158" s="2"/>
      <c r="K158" s="42"/>
    </row>
    <row r="159" spans="1:11" s="54" customFormat="1" ht="13.9">
      <c r="A159" s="28">
        <v>152</v>
      </c>
      <c r="B159" s="28"/>
      <c r="C159" s="47"/>
      <c r="D159" s="44"/>
      <c r="E159" s="41"/>
      <c r="F159" s="42"/>
      <c r="G159" s="44"/>
      <c r="H159" s="40"/>
      <c r="I159" s="41"/>
      <c r="J159" s="2"/>
      <c r="K159" s="42"/>
    </row>
    <row r="160" spans="1:11" s="54" customFormat="1" ht="13.9">
      <c r="A160" s="28">
        <v>153</v>
      </c>
      <c r="B160" s="28"/>
      <c r="C160" s="47"/>
      <c r="D160" s="44"/>
      <c r="E160" s="41"/>
      <c r="F160" s="42"/>
      <c r="G160" s="44"/>
      <c r="H160" s="40"/>
      <c r="I160" s="41"/>
      <c r="J160" s="2"/>
      <c r="K160" s="42"/>
    </row>
    <row r="161" spans="1:11" s="54" customFormat="1" ht="13.9">
      <c r="A161" s="28">
        <v>154</v>
      </c>
      <c r="B161" s="28"/>
      <c r="C161" s="47"/>
      <c r="D161" s="44"/>
      <c r="E161" s="41"/>
      <c r="F161" s="42"/>
      <c r="G161" s="44"/>
      <c r="H161" s="40"/>
      <c r="I161" s="41"/>
      <c r="J161" s="2"/>
      <c r="K161" s="42"/>
    </row>
    <row r="162" spans="1:11" s="54" customFormat="1" ht="13.9">
      <c r="A162" s="28">
        <v>155</v>
      </c>
      <c r="B162" s="28"/>
      <c r="C162" s="47"/>
      <c r="D162" s="44"/>
      <c r="E162" s="41"/>
      <c r="F162" s="42"/>
      <c r="G162" s="44"/>
      <c r="H162" s="40"/>
      <c r="I162" s="41"/>
      <c r="J162" s="2"/>
      <c r="K162" s="42"/>
    </row>
    <row r="163" spans="1:11" s="54" customFormat="1" ht="13.9">
      <c r="A163" s="28">
        <v>156</v>
      </c>
      <c r="B163" s="28"/>
      <c r="C163" s="47"/>
      <c r="D163" s="44"/>
      <c r="E163" s="41"/>
      <c r="F163" s="42"/>
      <c r="G163" s="44"/>
      <c r="H163" s="40"/>
      <c r="I163" s="41"/>
      <c r="J163" s="2"/>
      <c r="K163" s="42"/>
    </row>
    <row r="164" spans="1:11" s="54" customFormat="1" ht="13.9">
      <c r="A164" s="28">
        <v>157</v>
      </c>
      <c r="B164" s="28"/>
      <c r="C164" s="47"/>
      <c r="D164" s="44"/>
      <c r="E164" s="41"/>
      <c r="F164" s="42"/>
      <c r="G164" s="44"/>
      <c r="H164" s="40"/>
      <c r="I164" s="41"/>
      <c r="J164" s="2"/>
      <c r="K164" s="42"/>
    </row>
    <row r="165" spans="1:11" s="54" customFormat="1" ht="13.9">
      <c r="A165" s="28">
        <v>158</v>
      </c>
      <c r="B165" s="28"/>
      <c r="C165" s="47"/>
      <c r="D165" s="44"/>
      <c r="E165" s="41"/>
      <c r="F165" s="48"/>
      <c r="G165" s="44"/>
      <c r="H165" s="40"/>
      <c r="I165" s="41"/>
      <c r="J165" s="2"/>
      <c r="K165" s="42"/>
    </row>
    <row r="166" spans="1:11" s="54" customFormat="1" ht="13.9">
      <c r="A166" s="28">
        <v>159</v>
      </c>
      <c r="B166" s="28"/>
      <c r="C166" s="47"/>
      <c r="D166" s="44"/>
      <c r="E166" s="41"/>
      <c r="F166" s="42"/>
      <c r="G166" s="44"/>
      <c r="H166" s="40"/>
      <c r="I166" s="41"/>
      <c r="J166" s="2"/>
      <c r="K166" s="42"/>
    </row>
    <row r="167" spans="1:11" s="54" customFormat="1" ht="13.9">
      <c r="A167" s="28">
        <v>160</v>
      </c>
      <c r="B167" s="28"/>
      <c r="C167" s="47"/>
      <c r="D167" s="44"/>
      <c r="E167" s="41"/>
      <c r="F167" s="42"/>
      <c r="G167" s="44"/>
      <c r="H167" s="40"/>
      <c r="I167" s="41"/>
      <c r="J167" s="2"/>
      <c r="K167" s="42"/>
    </row>
    <row r="168" spans="1:11" s="54" customFormat="1" ht="13.9">
      <c r="A168" s="28">
        <v>161</v>
      </c>
      <c r="B168" s="28"/>
      <c r="C168" s="47"/>
      <c r="D168" s="44"/>
      <c r="E168" s="41"/>
      <c r="F168" s="42"/>
      <c r="G168" s="44"/>
      <c r="H168" s="40"/>
      <c r="I168" s="41"/>
      <c r="J168" s="2"/>
      <c r="K168" s="42"/>
    </row>
    <row r="169" spans="1:11" s="54" customFormat="1" ht="13.9">
      <c r="A169" s="28">
        <v>162</v>
      </c>
      <c r="B169" s="28"/>
      <c r="C169" s="47"/>
      <c r="D169" s="44"/>
      <c r="E169" s="41"/>
      <c r="F169" s="42"/>
      <c r="G169" s="44"/>
      <c r="H169" s="40"/>
      <c r="I169" s="41"/>
      <c r="J169" s="2"/>
      <c r="K169" s="42"/>
    </row>
    <row r="170" spans="1:11" s="54" customFormat="1" ht="13.9">
      <c r="A170" s="28">
        <v>163</v>
      </c>
      <c r="B170" s="28"/>
      <c r="C170" s="47"/>
      <c r="D170" s="44"/>
      <c r="E170" s="41"/>
      <c r="F170" s="42"/>
      <c r="G170" s="44"/>
      <c r="H170" s="40"/>
      <c r="I170" s="41"/>
      <c r="J170" s="2"/>
      <c r="K170" s="42"/>
    </row>
    <row r="171" spans="1:11" s="54" customFormat="1" ht="13.9">
      <c r="A171" s="28">
        <v>164</v>
      </c>
      <c r="B171" s="28"/>
      <c r="C171" s="47"/>
      <c r="D171" s="44"/>
      <c r="E171" s="41"/>
      <c r="F171" s="42"/>
      <c r="G171" s="44"/>
      <c r="H171" s="40"/>
      <c r="I171" s="41"/>
      <c r="J171" s="2"/>
      <c r="K171" s="42"/>
    </row>
    <row r="172" spans="1:11" s="54" customFormat="1" ht="13.9">
      <c r="A172" s="28">
        <v>165</v>
      </c>
      <c r="B172" s="28"/>
      <c r="C172" s="47"/>
      <c r="D172" s="44"/>
      <c r="E172" s="41"/>
      <c r="F172" s="42"/>
      <c r="G172" s="44"/>
      <c r="H172" s="40"/>
      <c r="I172" s="41"/>
      <c r="J172" s="2"/>
      <c r="K172" s="42"/>
    </row>
    <row r="173" spans="1:11" s="54" customFormat="1" ht="13.9">
      <c r="A173" s="28">
        <v>166</v>
      </c>
      <c r="B173" s="28"/>
      <c r="C173" s="47"/>
      <c r="D173" s="44"/>
      <c r="E173" s="41"/>
      <c r="F173" s="42"/>
      <c r="G173" s="44"/>
      <c r="H173" s="40"/>
      <c r="I173" s="41"/>
      <c r="J173" s="2"/>
      <c r="K173" s="42"/>
    </row>
    <row r="174" spans="1:11" s="54" customFormat="1" ht="13.9">
      <c r="A174" s="28">
        <v>167</v>
      </c>
      <c r="B174" s="28"/>
      <c r="C174" s="47"/>
      <c r="D174" s="44"/>
      <c r="E174" s="41"/>
      <c r="F174" s="42"/>
      <c r="G174" s="44"/>
      <c r="H174" s="40"/>
      <c r="I174" s="41"/>
      <c r="J174" s="2"/>
      <c r="K174" s="42"/>
    </row>
    <row r="175" spans="1:11" s="54" customFormat="1" ht="13.9">
      <c r="A175" s="28">
        <v>168</v>
      </c>
      <c r="B175" s="28"/>
      <c r="C175" s="47"/>
      <c r="D175" s="44"/>
      <c r="E175" s="41"/>
      <c r="F175" s="42"/>
      <c r="G175" s="44"/>
      <c r="H175" s="40"/>
      <c r="I175" s="41"/>
      <c r="J175" s="2"/>
      <c r="K175" s="42"/>
    </row>
    <row r="176" spans="1:11" s="54" customFormat="1" ht="13.9">
      <c r="A176" s="28">
        <v>169</v>
      </c>
      <c r="B176" s="28"/>
      <c r="C176" s="47"/>
      <c r="D176" s="44"/>
      <c r="E176" s="41"/>
      <c r="F176" s="42"/>
      <c r="G176" s="44"/>
      <c r="H176" s="40"/>
      <c r="I176" s="41"/>
      <c r="J176" s="2"/>
      <c r="K176" s="49"/>
    </row>
    <row r="177" spans="1:11" s="54" customFormat="1" ht="13.9">
      <c r="A177" s="28">
        <v>170</v>
      </c>
      <c r="B177" s="28"/>
      <c r="C177" s="47"/>
      <c r="D177" s="44"/>
      <c r="E177" s="41"/>
      <c r="F177" s="42"/>
      <c r="G177" s="44"/>
      <c r="H177" s="40"/>
      <c r="I177" s="41"/>
      <c r="J177" s="2"/>
      <c r="K177" s="42"/>
    </row>
    <row r="178" spans="1:11" s="54" customFormat="1" ht="13.9">
      <c r="A178" s="28">
        <v>171</v>
      </c>
      <c r="B178" s="28"/>
      <c r="C178" s="47"/>
      <c r="D178" s="44"/>
      <c r="E178" s="41"/>
      <c r="F178" s="42"/>
      <c r="G178" s="44"/>
      <c r="H178" s="40"/>
      <c r="I178" s="41"/>
      <c r="J178" s="2"/>
      <c r="K178" s="42"/>
    </row>
    <row r="179" spans="1:11" s="54" customFormat="1" ht="13.9">
      <c r="A179" s="28">
        <v>172</v>
      </c>
      <c r="B179" s="28"/>
      <c r="C179" s="47"/>
      <c r="D179" s="44"/>
      <c r="E179" s="41"/>
      <c r="F179" s="42"/>
      <c r="G179" s="44"/>
      <c r="H179" s="40"/>
      <c r="I179" s="41"/>
      <c r="J179" s="2"/>
      <c r="K179" s="49"/>
    </row>
    <row r="180" spans="1:11" s="54" customFormat="1" ht="13.9">
      <c r="A180" s="28">
        <v>173</v>
      </c>
      <c r="B180" s="28"/>
      <c r="C180" s="47"/>
      <c r="D180" s="44"/>
      <c r="E180" s="41"/>
      <c r="F180" s="42"/>
      <c r="G180" s="44"/>
      <c r="H180" s="40"/>
      <c r="I180" s="41"/>
      <c r="J180" s="2"/>
      <c r="K180" s="42"/>
    </row>
    <row r="181" spans="1:11" s="54" customFormat="1" ht="13.9">
      <c r="A181" s="28">
        <v>174</v>
      </c>
      <c r="B181" s="28"/>
      <c r="C181" s="47"/>
      <c r="D181" s="44"/>
      <c r="E181" s="41"/>
      <c r="F181" s="42"/>
      <c r="G181" s="44"/>
      <c r="H181" s="40"/>
      <c r="I181" s="41"/>
      <c r="J181" s="2"/>
      <c r="K181" s="42"/>
    </row>
    <row r="182" spans="1:11" s="54" customFormat="1" ht="13.9">
      <c r="A182" s="28">
        <v>175</v>
      </c>
      <c r="B182" s="28"/>
      <c r="C182" s="47"/>
      <c r="D182" s="44"/>
      <c r="E182" s="41"/>
      <c r="F182" s="42"/>
      <c r="G182" s="44"/>
      <c r="H182" s="40"/>
      <c r="I182" s="41"/>
      <c r="J182" s="2"/>
      <c r="K182" s="42"/>
    </row>
    <row r="183" spans="1:11" s="54" customFormat="1" ht="13.9">
      <c r="A183" s="28">
        <v>176</v>
      </c>
      <c r="B183" s="28"/>
      <c r="C183" s="47"/>
      <c r="D183" s="44"/>
      <c r="E183" s="41"/>
      <c r="F183" s="42"/>
      <c r="G183" s="44"/>
      <c r="H183" s="40"/>
      <c r="I183" s="41"/>
      <c r="J183" s="2"/>
      <c r="K183" s="42"/>
    </row>
    <row r="184" spans="1:11" s="54" customFormat="1" ht="13.9">
      <c r="A184" s="28">
        <v>177</v>
      </c>
      <c r="B184" s="28"/>
      <c r="C184" s="47"/>
      <c r="D184" s="44"/>
      <c r="E184" s="41"/>
      <c r="F184" s="42"/>
      <c r="G184" s="44"/>
      <c r="H184" s="40"/>
      <c r="I184" s="41"/>
      <c r="J184" s="2"/>
      <c r="K184" s="42"/>
    </row>
    <row r="185" spans="1:11" s="54" customFormat="1" ht="13.9">
      <c r="A185" s="28">
        <v>178</v>
      </c>
      <c r="B185" s="28"/>
      <c r="C185" s="47"/>
      <c r="D185" s="44"/>
      <c r="E185" s="41"/>
      <c r="F185" s="42"/>
      <c r="G185" s="44"/>
      <c r="H185" s="40"/>
      <c r="I185" s="41"/>
      <c r="J185" s="2"/>
      <c r="K185" s="42"/>
    </row>
    <row r="186" spans="1:11" s="54" customFormat="1" ht="13.9">
      <c r="A186" s="28">
        <v>179</v>
      </c>
      <c r="B186" s="28"/>
      <c r="C186" s="47"/>
      <c r="D186" s="44"/>
      <c r="E186" s="41"/>
      <c r="F186" s="42"/>
      <c r="G186" s="44"/>
      <c r="H186" s="40"/>
      <c r="I186" s="41"/>
      <c r="J186" s="2"/>
      <c r="K186" s="42"/>
    </row>
    <row r="187" spans="1:11" s="54" customFormat="1" ht="13.9">
      <c r="A187" s="28">
        <v>180</v>
      </c>
      <c r="B187" s="28"/>
      <c r="C187" s="47"/>
      <c r="D187" s="44"/>
      <c r="E187" s="41"/>
      <c r="F187" s="42"/>
      <c r="G187" s="44"/>
      <c r="H187" s="40"/>
      <c r="I187" s="41"/>
      <c r="J187" s="2"/>
      <c r="K187" s="42"/>
    </row>
    <row r="188" spans="1:11" s="54" customFormat="1" ht="13.9">
      <c r="A188" s="28">
        <v>181</v>
      </c>
      <c r="B188" s="28"/>
      <c r="C188" s="47"/>
      <c r="D188" s="44"/>
      <c r="E188" s="41"/>
      <c r="F188" s="42"/>
      <c r="G188" s="44"/>
      <c r="H188" s="40"/>
      <c r="I188" s="41"/>
      <c r="J188" s="2"/>
      <c r="K188" s="42"/>
    </row>
    <row r="189" spans="1:11" s="54" customFormat="1" ht="13.9">
      <c r="A189" s="28">
        <v>182</v>
      </c>
      <c r="B189" s="28"/>
      <c r="C189" s="47"/>
      <c r="D189" s="44"/>
      <c r="E189" s="41"/>
      <c r="F189" s="42"/>
      <c r="G189" s="44"/>
      <c r="H189" s="40"/>
      <c r="I189" s="41"/>
      <c r="J189" s="2"/>
      <c r="K189" s="42"/>
    </row>
    <row r="190" spans="1:11" s="54" customFormat="1" ht="13.9">
      <c r="A190" s="28">
        <v>183</v>
      </c>
      <c r="B190" s="28"/>
      <c r="C190" s="47"/>
      <c r="D190" s="44"/>
      <c r="E190" s="41"/>
      <c r="F190" s="42"/>
      <c r="G190" s="44"/>
      <c r="H190" s="40"/>
      <c r="I190" s="41"/>
      <c r="J190" s="2"/>
      <c r="K190" s="42"/>
    </row>
    <row r="191" spans="1:11" s="54" customFormat="1" ht="13.9">
      <c r="A191" s="28">
        <v>184</v>
      </c>
      <c r="B191" s="28"/>
      <c r="C191" s="47"/>
      <c r="D191" s="44"/>
      <c r="E191" s="41"/>
      <c r="F191" s="42"/>
      <c r="G191" s="44"/>
      <c r="H191" s="40"/>
      <c r="I191" s="41"/>
      <c r="J191" s="2"/>
      <c r="K191" s="42"/>
    </row>
    <row r="192" spans="1:11" s="54" customFormat="1" ht="13.9">
      <c r="A192" s="28">
        <v>185</v>
      </c>
      <c r="B192" s="28"/>
      <c r="C192" s="47"/>
      <c r="D192" s="44"/>
      <c r="E192" s="41"/>
      <c r="F192" s="42"/>
      <c r="G192" s="44"/>
      <c r="H192" s="40"/>
      <c r="I192" s="41"/>
      <c r="J192" s="2"/>
      <c r="K192" s="42"/>
    </row>
    <row r="193" spans="1:11" s="54" customFormat="1" ht="13.9">
      <c r="A193" s="28">
        <v>186</v>
      </c>
      <c r="B193" s="28"/>
      <c r="C193" s="47"/>
      <c r="D193" s="44"/>
      <c r="E193" s="41"/>
      <c r="F193" s="42"/>
      <c r="G193" s="44"/>
      <c r="H193" s="40"/>
      <c r="I193" s="41"/>
      <c r="J193" s="2"/>
      <c r="K193" s="42"/>
    </row>
    <row r="194" spans="1:11" s="54" customFormat="1" ht="13.9">
      <c r="A194" s="28">
        <v>187</v>
      </c>
      <c r="B194" s="28"/>
      <c r="C194" s="47"/>
      <c r="D194" s="44"/>
      <c r="E194" s="41"/>
      <c r="F194" s="42"/>
      <c r="G194" s="44"/>
      <c r="H194" s="40"/>
      <c r="I194" s="41"/>
      <c r="J194" s="2"/>
      <c r="K194" s="42"/>
    </row>
    <row r="195" spans="1:11" s="54" customFormat="1" ht="13.9">
      <c r="A195" s="28">
        <v>188</v>
      </c>
      <c r="B195" s="28"/>
      <c r="C195" s="47"/>
      <c r="D195" s="44"/>
      <c r="E195" s="41"/>
      <c r="F195" s="42"/>
      <c r="G195" s="44"/>
      <c r="H195" s="40"/>
      <c r="I195" s="41"/>
      <c r="J195" s="2"/>
      <c r="K195" s="42"/>
    </row>
    <row r="196" spans="1:11" s="54" customFormat="1" ht="13.9">
      <c r="A196" s="28">
        <v>189</v>
      </c>
      <c r="B196" s="28"/>
      <c r="C196" s="47"/>
      <c r="D196" s="44"/>
      <c r="E196" s="41"/>
      <c r="F196" s="42"/>
      <c r="G196" s="44"/>
      <c r="H196" s="40"/>
      <c r="I196" s="41"/>
      <c r="J196" s="2"/>
      <c r="K196" s="42"/>
    </row>
    <row r="197" spans="1:11" s="54" customFormat="1" ht="13.9">
      <c r="A197" s="28">
        <v>190</v>
      </c>
      <c r="B197" s="28"/>
      <c r="C197" s="47"/>
      <c r="D197" s="44"/>
      <c r="E197" s="41"/>
      <c r="F197" s="42"/>
      <c r="G197" s="44"/>
      <c r="H197" s="40"/>
      <c r="I197" s="41"/>
      <c r="J197" s="2"/>
      <c r="K197" s="42"/>
    </row>
    <row r="198" spans="1:11" s="54" customFormat="1" ht="13.9">
      <c r="A198" s="28">
        <v>191</v>
      </c>
      <c r="B198" s="28"/>
      <c r="C198" s="47"/>
      <c r="D198" s="44"/>
      <c r="E198" s="41"/>
      <c r="F198" s="42"/>
      <c r="G198" s="44"/>
      <c r="H198" s="40"/>
      <c r="I198" s="41"/>
      <c r="J198" s="2"/>
      <c r="K198" s="42"/>
    </row>
    <row r="199" spans="1:11" s="54" customFormat="1" ht="13.9">
      <c r="A199" s="28">
        <v>192</v>
      </c>
      <c r="B199" s="28"/>
      <c r="C199" s="47"/>
      <c r="D199" s="44"/>
      <c r="E199" s="41"/>
      <c r="F199" s="42"/>
      <c r="G199" s="44"/>
      <c r="H199" s="40"/>
      <c r="I199" s="41"/>
      <c r="J199" s="2"/>
      <c r="K199" s="42"/>
    </row>
    <row r="200" spans="1:11" s="54" customFormat="1" ht="13.9">
      <c r="A200" s="28">
        <v>193</v>
      </c>
      <c r="B200" s="28"/>
      <c r="C200" s="47"/>
      <c r="D200" s="44"/>
      <c r="E200" s="41"/>
      <c r="F200" s="42"/>
      <c r="G200" s="44"/>
      <c r="H200" s="40"/>
      <c r="I200" s="41"/>
      <c r="J200" s="2"/>
      <c r="K200" s="42"/>
    </row>
    <row r="201" spans="1:11" s="54" customFormat="1" ht="13.9">
      <c r="A201" s="28">
        <v>194</v>
      </c>
      <c r="B201" s="28"/>
      <c r="C201" s="47"/>
      <c r="D201" s="44"/>
      <c r="E201" s="41"/>
      <c r="F201" s="42"/>
      <c r="G201" s="44"/>
      <c r="H201" s="40"/>
      <c r="I201" s="41"/>
      <c r="J201" s="2"/>
      <c r="K201" s="42"/>
    </row>
    <row r="202" spans="1:11" s="54" customFormat="1" ht="13.9">
      <c r="A202" s="28">
        <v>195</v>
      </c>
      <c r="B202" s="28"/>
      <c r="C202" s="47"/>
      <c r="D202" s="44"/>
      <c r="E202" s="41"/>
      <c r="F202" s="42"/>
      <c r="G202" s="44"/>
      <c r="H202" s="40"/>
      <c r="I202" s="41"/>
      <c r="J202" s="2"/>
      <c r="K202" s="42"/>
    </row>
    <row r="203" spans="1:11" s="54" customFormat="1" ht="13.9">
      <c r="A203" s="28">
        <v>196</v>
      </c>
      <c r="B203" s="28"/>
      <c r="C203" s="47"/>
      <c r="D203" s="44"/>
      <c r="E203" s="41"/>
      <c r="F203" s="42"/>
      <c r="G203" s="44"/>
      <c r="H203" s="40"/>
      <c r="I203" s="41"/>
      <c r="J203" s="2"/>
      <c r="K203" s="42"/>
    </row>
    <row r="204" spans="1:11" s="54" customFormat="1" ht="13.9">
      <c r="A204" s="28">
        <v>197</v>
      </c>
      <c r="B204" s="28"/>
      <c r="C204" s="47"/>
      <c r="D204" s="44"/>
      <c r="E204" s="41"/>
      <c r="F204" s="42"/>
      <c r="G204" s="44"/>
      <c r="H204" s="40"/>
      <c r="I204" s="41"/>
      <c r="J204" s="2"/>
      <c r="K204" s="42"/>
    </row>
    <row r="205" spans="1:11" s="54" customFormat="1" ht="13.9">
      <c r="A205" s="28">
        <v>198</v>
      </c>
      <c r="B205" s="28"/>
      <c r="C205" s="47"/>
      <c r="D205" s="44"/>
      <c r="E205" s="41"/>
      <c r="F205" s="42"/>
      <c r="G205" s="44"/>
      <c r="H205" s="40"/>
      <c r="I205" s="41"/>
      <c r="J205" s="2"/>
      <c r="K205" s="42"/>
    </row>
    <row r="206" spans="1:11" s="54" customFormat="1" ht="13.9">
      <c r="A206" s="28">
        <v>199</v>
      </c>
      <c r="B206" s="28"/>
      <c r="C206" s="47"/>
      <c r="D206" s="44"/>
      <c r="E206" s="41"/>
      <c r="F206" s="42"/>
      <c r="G206" s="44"/>
      <c r="H206" s="40"/>
      <c r="I206" s="41"/>
      <c r="J206" s="2"/>
      <c r="K206" s="42"/>
    </row>
    <row r="207" spans="1:11" s="54" customFormat="1" ht="13.9">
      <c r="A207" s="28">
        <v>200</v>
      </c>
      <c r="B207" s="28"/>
      <c r="C207" s="47"/>
      <c r="D207" s="44"/>
      <c r="E207" s="41"/>
      <c r="F207" s="42"/>
      <c r="G207" s="44"/>
      <c r="H207" s="40"/>
      <c r="I207" s="41"/>
      <c r="J207" s="2"/>
      <c r="K207" s="42"/>
    </row>
    <row r="208" spans="1:11">
      <c r="A208" s="59"/>
      <c r="B208" s="59"/>
      <c r="C208" s="60"/>
      <c r="D208" s="61"/>
      <c r="E208" s="62"/>
      <c r="F208" s="63"/>
      <c r="G208" s="61"/>
      <c r="H208" s="64"/>
      <c r="I208" s="62"/>
      <c r="J208" s="65"/>
      <c r="K208" s="66"/>
    </row>
  </sheetData>
  <autoFilter ref="A7:K7" xr:uid="{8DA186A2-004A-4C45-B495-D53843B41837}"/>
  <conditionalFormatting sqref="E8:E207">
    <cfRule type="containsText" dxfId="21" priority="117" operator="containsText" text="Low">
      <formula>NOT(ISERROR(SEARCH("Low",E8)))</formula>
    </cfRule>
    <cfRule type="containsText" dxfId="20" priority="115" operator="containsText" text="Medium">
      <formula>NOT(ISERROR(SEARCH("Medium",E8)))</formula>
    </cfRule>
    <cfRule type="containsText" dxfId="19" priority="116" operator="containsText" text="High">
      <formula>NOT(ISERROR(SEARCH("High",E8)))</formula>
    </cfRule>
  </conditionalFormatting>
  <conditionalFormatting sqref="I8:I35">
    <cfRule type="containsText" dxfId="18" priority="17" operator="containsText" text="On Hold">
      <formula>NOT(ISERROR(SEARCH("On Hold",I8)))</formula>
    </cfRule>
    <cfRule type="containsText" dxfId="17" priority="18" operator="containsText" text="Complete">
      <formula>NOT(ISERROR(SEARCH("Complete",I8)))</formula>
    </cfRule>
    <cfRule type="cellIs" dxfId="16" priority="19" stopIfTrue="1" operator="equal">
      <formula>"Open"</formula>
    </cfRule>
    <cfRule type="cellIs" dxfId="15" priority="20" stopIfTrue="1" operator="equal">
      <formula>"Closed"</formula>
    </cfRule>
    <cfRule type="expression" dxfId="14" priority="21" stopIfTrue="1">
      <formula>OR(EXACT(I8,"Monitor"),EXACT(I8,"Test"))</formula>
    </cfRule>
  </conditionalFormatting>
  <conditionalFormatting sqref="I25">
    <cfRule type="cellIs" dxfId="13" priority="6" stopIfTrue="1" operator="equal">
      <formula>"Open"</formula>
    </cfRule>
    <cfRule type="cellIs" dxfId="12" priority="7" stopIfTrue="1" operator="equal">
      <formula>"Closed"</formula>
    </cfRule>
    <cfRule type="expression" dxfId="11" priority="8" stopIfTrue="1">
      <formula>OR(EXACT(I25,"Monitor"),EXACT(I25,"Test"))</formula>
    </cfRule>
  </conditionalFormatting>
  <conditionalFormatting sqref="I30">
    <cfRule type="cellIs" dxfId="10" priority="15" stopIfTrue="1" operator="equal">
      <formula>"Closed"</formula>
    </cfRule>
    <cfRule type="cellIs" dxfId="9" priority="14" stopIfTrue="1" operator="equal">
      <formula>"Open"</formula>
    </cfRule>
    <cfRule type="expression" dxfId="8" priority="16" stopIfTrue="1">
      <formula>OR(EXACT(I30,"Monitor"),EXACT(I30,"Test"))</formula>
    </cfRule>
  </conditionalFormatting>
  <conditionalFormatting sqref="I36:I207">
    <cfRule type="cellIs" dxfId="7" priority="3" stopIfTrue="1" operator="equal">
      <formula>"Open"</formula>
    </cfRule>
    <cfRule type="cellIs" dxfId="6" priority="4" stopIfTrue="1" operator="equal">
      <formula>"Closed"</formula>
    </cfRule>
    <cfRule type="expression" dxfId="5" priority="5" stopIfTrue="1">
      <formula>OR(EXACT(I36,"Monitor"),EXACT(I36,"Test"))</formula>
    </cfRule>
  </conditionalFormatting>
  <conditionalFormatting sqref="I36:I1048576">
    <cfRule type="containsText" dxfId="4" priority="2" operator="containsText" text="Complete">
      <formula>NOT(ISERROR(SEARCH("Complete",I36)))</formula>
    </cfRule>
    <cfRule type="containsText" dxfId="3" priority="1" operator="containsText" text="On Hold">
      <formula>NOT(ISERROR(SEARCH("On Hold",I36)))</formula>
    </cfRule>
  </conditionalFormatting>
  <printOptions horizontalCentered="1" verticalCentered="1"/>
  <pageMargins left="0.25" right="0.25" top="0.25" bottom="0.25" header="0.2" footer="0.2"/>
  <pageSetup scale="69" fitToHeight="4" orientation="landscape" r:id="rId1"/>
  <headerFooter alignWithMargins="0">
    <oddHeader xml:space="preserve">&amp;C&amp;14Issues List </oddHeader>
    <oddFooter>&amp;LIssues List Template&amp;C&amp;P of &amp;N</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A9398B86-5E60-4D84-BB6B-F3DD2CAF11C2}">
          <x14:formula1>
            <xm:f>Lookup!$F$2:$F$15</xm:f>
          </x14:formula1>
          <xm:sqref>B8:B207</xm:sqref>
        </x14:dataValidation>
        <x14:dataValidation type="list" allowBlank="1" showInputMessage="1" showErrorMessage="1" xr:uid="{72BA4029-81C1-47FA-AA37-A1F3A055EABF}">
          <x14:formula1>
            <xm:f>Lookup!$A$2:$A$40</xm:f>
          </x14:formula1>
          <xm:sqref>G8:G207 D8:D207</xm:sqref>
        </x14:dataValidation>
        <x14:dataValidation type="list" allowBlank="1" showInputMessage="1" showErrorMessage="1" xr:uid="{D5DD165F-7A89-4F9B-A1DE-BDFE883943C7}">
          <x14:formula1>
            <xm:f>Lookup!$B$2:$B$7</xm:f>
          </x14:formula1>
          <xm:sqref>I8:I207</xm:sqref>
        </x14:dataValidation>
        <x14:dataValidation type="list" allowBlank="1" showInputMessage="1" showErrorMessage="1" xr:uid="{F39A41E6-CADE-439D-A344-2C194CAED40A}">
          <x14:formula1>
            <xm:f>Lookup!$E$2:$E$4</xm:f>
          </x14:formula1>
          <xm:sqref>E8:E207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BE1F9-C7C0-42FC-A51D-2B7E91FBB791}">
  <dimension ref="A1:G47"/>
  <sheetViews>
    <sheetView showGridLines="0" zoomScale="90" zoomScaleNormal="90" workbookViewId="0">
      <pane ySplit="7" topLeftCell="A8" activePane="bottomLeft" state="frozen"/>
      <selection pane="bottomLeft" activeCell="C5" sqref="C5"/>
    </sheetView>
  </sheetViews>
  <sheetFormatPr defaultColWidth="9.140625" defaultRowHeight="13.9"/>
  <cols>
    <col min="1" max="1" width="6" style="23" customWidth="1"/>
    <col min="2" max="2" width="12" style="23" customWidth="1"/>
    <col min="3" max="3" width="25.85546875" style="23" customWidth="1"/>
    <col min="4" max="4" width="41.85546875" style="23" customWidth="1"/>
    <col min="5" max="5" width="103.5703125" style="23" customWidth="1"/>
    <col min="6" max="6" width="27.85546875" style="23" customWidth="1"/>
    <col min="7" max="7" width="46" style="23" customWidth="1"/>
    <col min="8" max="16384" width="9.140625" style="23"/>
  </cols>
  <sheetData>
    <row r="1" spans="1:7" ht="30">
      <c r="A1" s="5" t="s">
        <v>57</v>
      </c>
    </row>
    <row r="2" spans="1:7" ht="17.45">
      <c r="A2" s="15" t="str">
        <f>+Risks!A2</f>
        <v>Project name:</v>
      </c>
    </row>
    <row r="3" spans="1:7" ht="17.45">
      <c r="A3" s="15" t="str">
        <f>+Risks!A3</f>
        <v>Kaizen Project manager:</v>
      </c>
    </row>
    <row r="4" spans="1:7" ht="17.45">
      <c r="A4" s="15" t="str">
        <f>+Risks!A4</f>
        <v>Client Project manager:</v>
      </c>
    </row>
    <row r="5" spans="1:7" ht="17.45">
      <c r="A5" s="22" t="s">
        <v>20</v>
      </c>
      <c r="C5" s="74">
        <f ca="1">+Risks!$C$5</f>
        <v>46209</v>
      </c>
    </row>
    <row r="7" spans="1:7" s="17" customFormat="1" ht="75.75" customHeight="1">
      <c r="A7" s="50" t="s">
        <v>58</v>
      </c>
      <c r="B7" s="50" t="s">
        <v>59</v>
      </c>
      <c r="C7" s="50" t="s">
        <v>47</v>
      </c>
      <c r="D7" s="50" t="s">
        <v>60</v>
      </c>
      <c r="E7" s="50" t="s">
        <v>61</v>
      </c>
      <c r="F7" s="50" t="s">
        <v>32</v>
      </c>
      <c r="G7" s="50" t="s">
        <v>62</v>
      </c>
    </row>
    <row r="8" spans="1:7" ht="55.15">
      <c r="A8" s="24">
        <v>1</v>
      </c>
      <c r="B8" s="26">
        <v>43306</v>
      </c>
      <c r="C8" s="24"/>
      <c r="D8" s="25" t="s">
        <v>63</v>
      </c>
      <c r="E8" s="27" t="s">
        <v>64</v>
      </c>
      <c r="F8" s="25" t="s">
        <v>65</v>
      </c>
      <c r="G8" s="25" t="s">
        <v>66</v>
      </c>
    </row>
    <row r="9" spans="1:7">
      <c r="A9" s="24">
        <v>2</v>
      </c>
      <c r="B9" s="26"/>
      <c r="C9" s="24"/>
      <c r="D9" s="25"/>
      <c r="E9" s="27"/>
      <c r="F9" s="25"/>
      <c r="G9" s="25"/>
    </row>
    <row r="10" spans="1:7">
      <c r="A10" s="24">
        <v>3</v>
      </c>
      <c r="B10" s="26"/>
      <c r="C10" s="24"/>
      <c r="D10" s="24"/>
      <c r="E10" s="27"/>
      <c r="F10" s="25"/>
      <c r="G10" s="25"/>
    </row>
    <row r="11" spans="1:7">
      <c r="A11" s="24">
        <v>4</v>
      </c>
      <c r="B11" s="26"/>
      <c r="C11" s="24"/>
      <c r="D11" s="24"/>
      <c r="E11" s="27"/>
      <c r="F11" s="25"/>
      <c r="G11" s="25"/>
    </row>
    <row r="12" spans="1:7">
      <c r="A12" s="24">
        <v>5</v>
      </c>
      <c r="B12" s="26"/>
      <c r="C12" s="24"/>
      <c r="D12" s="24"/>
      <c r="E12" s="25"/>
      <c r="F12" s="25"/>
      <c r="G12" s="25"/>
    </row>
    <row r="13" spans="1:7">
      <c r="A13" s="24">
        <v>6</v>
      </c>
      <c r="B13" s="26"/>
      <c r="C13" s="24"/>
      <c r="D13" s="24"/>
      <c r="E13" s="25"/>
      <c r="F13" s="25"/>
      <c r="G13" s="25"/>
    </row>
    <row r="14" spans="1:7">
      <c r="A14" s="24">
        <f>+A13+1</f>
        <v>7</v>
      </c>
      <c r="B14" s="26"/>
      <c r="C14" s="24"/>
      <c r="D14" s="24"/>
      <c r="E14" s="25"/>
      <c r="F14" s="25"/>
      <c r="G14" s="25"/>
    </row>
    <row r="15" spans="1:7">
      <c r="A15" s="24">
        <f t="shared" ref="A15:A40" si="0">+A14+1</f>
        <v>8</v>
      </c>
      <c r="B15" s="26"/>
      <c r="C15" s="24"/>
      <c r="D15" s="24"/>
      <c r="E15" s="25"/>
      <c r="F15" s="25"/>
      <c r="G15" s="25"/>
    </row>
    <row r="16" spans="1:7">
      <c r="A16" s="24">
        <f t="shared" si="0"/>
        <v>9</v>
      </c>
      <c r="B16" s="26"/>
      <c r="C16" s="24"/>
      <c r="D16" s="24"/>
      <c r="E16" s="25"/>
      <c r="F16" s="25"/>
      <c r="G16" s="25"/>
    </row>
    <row r="17" spans="1:7">
      <c r="A17" s="24">
        <f t="shared" si="0"/>
        <v>10</v>
      </c>
      <c r="B17" s="26"/>
      <c r="C17" s="24"/>
      <c r="D17" s="24"/>
      <c r="E17" s="25"/>
      <c r="F17" s="25"/>
      <c r="G17" s="25"/>
    </row>
    <row r="18" spans="1:7">
      <c r="A18" s="24">
        <f t="shared" si="0"/>
        <v>11</v>
      </c>
      <c r="B18" s="26"/>
      <c r="C18" s="24"/>
      <c r="D18" s="24"/>
      <c r="E18" s="25"/>
      <c r="F18" s="25"/>
      <c r="G18" s="25"/>
    </row>
    <row r="19" spans="1:7">
      <c r="A19" s="24">
        <f t="shared" si="0"/>
        <v>12</v>
      </c>
      <c r="B19" s="26"/>
      <c r="C19" s="24"/>
      <c r="D19" s="24"/>
      <c r="E19" s="25"/>
      <c r="F19" s="25"/>
      <c r="G19" s="25"/>
    </row>
    <row r="20" spans="1:7">
      <c r="A20" s="24">
        <f t="shared" si="0"/>
        <v>13</v>
      </c>
      <c r="B20" s="26"/>
      <c r="C20" s="24"/>
      <c r="D20" s="24"/>
      <c r="E20" s="25"/>
      <c r="F20" s="25"/>
      <c r="G20" s="25"/>
    </row>
    <row r="21" spans="1:7">
      <c r="A21" s="24">
        <f t="shared" si="0"/>
        <v>14</v>
      </c>
      <c r="B21" s="26"/>
      <c r="C21" s="24"/>
      <c r="D21" s="24"/>
      <c r="E21" s="25"/>
      <c r="F21" s="25"/>
      <c r="G21" s="25"/>
    </row>
    <row r="22" spans="1:7">
      <c r="A22" s="24">
        <f t="shared" si="0"/>
        <v>15</v>
      </c>
      <c r="B22" s="26"/>
      <c r="C22" s="24"/>
      <c r="D22" s="24"/>
      <c r="E22" s="25"/>
      <c r="F22" s="25"/>
      <c r="G22" s="25"/>
    </row>
    <row r="23" spans="1:7">
      <c r="A23" s="24">
        <f t="shared" si="0"/>
        <v>16</v>
      </c>
      <c r="B23" s="26"/>
      <c r="C23" s="24"/>
      <c r="D23" s="24"/>
      <c r="E23" s="25"/>
      <c r="F23" s="25"/>
      <c r="G23" s="25"/>
    </row>
    <row r="24" spans="1:7">
      <c r="A24" s="24">
        <f t="shared" si="0"/>
        <v>17</v>
      </c>
      <c r="B24" s="26"/>
      <c r="C24" s="24"/>
      <c r="D24" s="24"/>
      <c r="E24" s="25"/>
      <c r="F24" s="25"/>
      <c r="G24" s="25"/>
    </row>
    <row r="25" spans="1:7">
      <c r="A25" s="24">
        <f t="shared" si="0"/>
        <v>18</v>
      </c>
      <c r="B25" s="26"/>
      <c r="C25" s="24"/>
      <c r="D25" s="24"/>
      <c r="E25" s="25"/>
      <c r="F25" s="25"/>
      <c r="G25" s="25"/>
    </row>
    <row r="26" spans="1:7">
      <c r="A26" s="24">
        <f t="shared" si="0"/>
        <v>19</v>
      </c>
      <c r="B26" s="26"/>
      <c r="C26" s="24"/>
      <c r="D26" s="24"/>
      <c r="E26" s="25"/>
      <c r="F26" s="25"/>
      <c r="G26" s="25"/>
    </row>
    <row r="27" spans="1:7">
      <c r="A27" s="24">
        <f t="shared" si="0"/>
        <v>20</v>
      </c>
      <c r="B27" s="26"/>
      <c r="C27" s="24"/>
      <c r="D27" s="24"/>
      <c r="E27" s="25"/>
      <c r="F27" s="25"/>
      <c r="G27" s="25"/>
    </row>
    <row r="28" spans="1:7">
      <c r="A28" s="24">
        <f t="shared" si="0"/>
        <v>21</v>
      </c>
      <c r="B28" s="26"/>
      <c r="C28" s="24"/>
      <c r="D28" s="24"/>
      <c r="E28" s="25"/>
      <c r="F28" s="25"/>
      <c r="G28" s="25"/>
    </row>
    <row r="29" spans="1:7">
      <c r="A29" s="24">
        <f t="shared" si="0"/>
        <v>22</v>
      </c>
      <c r="B29" s="26"/>
      <c r="C29" s="24"/>
      <c r="D29" s="24"/>
      <c r="E29" s="25"/>
      <c r="F29" s="25"/>
      <c r="G29" s="25"/>
    </row>
    <row r="30" spans="1:7">
      <c r="A30" s="24">
        <f t="shared" si="0"/>
        <v>23</v>
      </c>
      <c r="B30" s="26"/>
      <c r="C30" s="24"/>
      <c r="D30" s="24"/>
      <c r="E30" s="25"/>
      <c r="F30" s="25"/>
      <c r="G30" s="25"/>
    </row>
    <row r="31" spans="1:7">
      <c r="A31" s="24">
        <f t="shared" si="0"/>
        <v>24</v>
      </c>
      <c r="B31" s="26"/>
      <c r="C31" s="24"/>
      <c r="D31" s="24"/>
      <c r="E31" s="25"/>
      <c r="F31" s="25"/>
      <c r="G31" s="25"/>
    </row>
    <row r="32" spans="1:7">
      <c r="A32" s="24">
        <f t="shared" si="0"/>
        <v>25</v>
      </c>
      <c r="B32" s="26"/>
      <c r="C32" s="24"/>
      <c r="D32" s="24"/>
      <c r="E32" s="25"/>
      <c r="F32" s="25"/>
      <c r="G32" s="25"/>
    </row>
    <row r="33" spans="1:7">
      <c r="A33" s="24">
        <f t="shared" si="0"/>
        <v>26</v>
      </c>
      <c r="B33" s="26"/>
      <c r="C33" s="24"/>
      <c r="D33" s="24"/>
      <c r="E33" s="25"/>
      <c r="F33" s="25"/>
      <c r="G33" s="25"/>
    </row>
    <row r="34" spans="1:7">
      <c r="A34" s="24">
        <f t="shared" si="0"/>
        <v>27</v>
      </c>
      <c r="B34" s="26"/>
      <c r="C34" s="24"/>
      <c r="D34" s="24"/>
      <c r="E34" s="25"/>
      <c r="F34" s="25"/>
      <c r="G34" s="25"/>
    </row>
    <row r="35" spans="1:7">
      <c r="A35" s="24">
        <f t="shared" si="0"/>
        <v>28</v>
      </c>
      <c r="B35" s="26"/>
      <c r="C35" s="24"/>
      <c r="D35" s="24"/>
      <c r="E35" s="25"/>
      <c r="F35" s="25"/>
      <c r="G35" s="25"/>
    </row>
    <row r="36" spans="1:7">
      <c r="A36" s="24">
        <f t="shared" si="0"/>
        <v>29</v>
      </c>
      <c r="B36" s="26"/>
      <c r="C36" s="24"/>
      <c r="D36" s="24"/>
      <c r="E36" s="25"/>
      <c r="F36" s="25"/>
      <c r="G36" s="25"/>
    </row>
    <row r="37" spans="1:7">
      <c r="A37" s="24">
        <f t="shared" si="0"/>
        <v>30</v>
      </c>
      <c r="B37" s="26"/>
      <c r="C37" s="24"/>
      <c r="D37" s="24"/>
      <c r="E37" s="25"/>
      <c r="F37" s="25"/>
      <c r="G37" s="25"/>
    </row>
    <row r="38" spans="1:7">
      <c r="A38" s="24">
        <f t="shared" si="0"/>
        <v>31</v>
      </c>
      <c r="B38" s="26"/>
      <c r="C38" s="24"/>
      <c r="D38" s="24"/>
      <c r="E38" s="25"/>
      <c r="F38" s="25"/>
      <c r="G38" s="25"/>
    </row>
    <row r="39" spans="1:7">
      <c r="A39" s="24">
        <f t="shared" si="0"/>
        <v>32</v>
      </c>
      <c r="B39" s="26"/>
      <c r="C39" s="24"/>
      <c r="D39" s="24"/>
      <c r="E39" s="25"/>
      <c r="F39" s="25"/>
      <c r="G39" s="25"/>
    </row>
    <row r="40" spans="1:7">
      <c r="A40" s="24">
        <f t="shared" si="0"/>
        <v>33</v>
      </c>
      <c r="B40" s="26"/>
      <c r="C40" s="24"/>
      <c r="D40" s="24"/>
      <c r="E40" s="25"/>
      <c r="F40" s="25"/>
      <c r="G40" s="25"/>
    </row>
    <row r="41" spans="1:7">
      <c r="A41" s="24">
        <f t="shared" ref="A41" si="1">+A40+1</f>
        <v>34</v>
      </c>
      <c r="B41" s="26"/>
      <c r="C41" s="24"/>
      <c r="D41" s="24"/>
      <c r="E41" s="25"/>
      <c r="F41" s="25"/>
      <c r="G41" s="25"/>
    </row>
    <row r="42" spans="1:7">
      <c r="A42" s="24">
        <f t="shared" ref="A42:A47" si="2">+A41+1</f>
        <v>35</v>
      </c>
      <c r="B42" s="26"/>
      <c r="C42" s="24"/>
      <c r="D42" s="24"/>
      <c r="E42" s="25"/>
      <c r="F42" s="25"/>
      <c r="G42" s="25"/>
    </row>
    <row r="43" spans="1:7">
      <c r="A43" s="24">
        <f t="shared" si="2"/>
        <v>36</v>
      </c>
      <c r="B43" s="26"/>
      <c r="C43" s="24"/>
      <c r="D43" s="24"/>
      <c r="E43" s="25"/>
      <c r="F43" s="25"/>
      <c r="G43" s="25"/>
    </row>
    <row r="44" spans="1:7">
      <c r="A44" s="24">
        <f t="shared" si="2"/>
        <v>37</v>
      </c>
      <c r="B44" s="26"/>
      <c r="C44" s="24"/>
      <c r="D44" s="24"/>
      <c r="E44" s="25"/>
      <c r="F44" s="25"/>
      <c r="G44" s="25"/>
    </row>
    <row r="45" spans="1:7">
      <c r="A45" s="24">
        <f t="shared" si="2"/>
        <v>38</v>
      </c>
      <c r="B45" s="26"/>
      <c r="C45" s="24"/>
      <c r="D45" s="24"/>
      <c r="E45" s="25"/>
      <c r="F45" s="25"/>
      <c r="G45" s="25"/>
    </row>
    <row r="46" spans="1:7">
      <c r="A46" s="24">
        <f t="shared" si="2"/>
        <v>39</v>
      </c>
      <c r="B46" s="26"/>
      <c r="C46" s="24"/>
      <c r="D46" s="24"/>
      <c r="E46" s="25"/>
      <c r="F46" s="25"/>
      <c r="G46" s="25"/>
    </row>
    <row r="47" spans="1:7">
      <c r="A47" s="24">
        <f t="shared" si="2"/>
        <v>40</v>
      </c>
      <c r="B47" s="26"/>
      <c r="C47" s="24"/>
      <c r="D47" s="24"/>
      <c r="E47" s="25"/>
      <c r="F47" s="25"/>
      <c r="G47" s="25"/>
    </row>
  </sheetData>
  <autoFilter ref="A7:G7" xr:uid="{1A0447A7-2F16-4010-BCDB-0E15511F8BB1}">
    <sortState xmlns:xlrd2="http://schemas.microsoft.com/office/spreadsheetml/2017/richdata2" ref="A8:G32">
      <sortCondition ref="A7"/>
    </sortState>
  </autoFilter>
  <conditionalFormatting sqref="F8:F47">
    <cfRule type="containsText" dxfId="2" priority="1" operator="containsText" text="To be determined">
      <formula>NOT(ISERROR(SEARCH("To be determined",F8)))</formula>
    </cfRule>
    <cfRule type="containsText" dxfId="1" priority="2" operator="containsText" text="Confirmed by Core Team">
      <formula>NOT(ISERROR(SEARCH("Confirmed by Core Team",F8)))</formula>
    </cfRule>
    <cfRule type="containsText" dxfId="0" priority="3" operator="containsText" text="Draft decision made">
      <formula>NOT(ISERROR(SEARCH("Draft decision made",F8)))</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437D5AF7-CA8F-4F68-9193-39F7BA0D2097}">
          <x14:formula1>
            <xm:f>Lookup!$F$2:$F$21</xm:f>
          </x14:formula1>
          <xm:sqref>C8:C47</xm:sqref>
        </x14:dataValidation>
        <x14:dataValidation type="list" allowBlank="1" showInputMessage="1" showErrorMessage="1" xr:uid="{C0B3721F-8597-4037-BE9E-88F8DBCE14B6}">
          <x14:formula1>
            <xm:f>Lookup!$C$2:$C$4</xm:f>
          </x14:formula1>
          <xm:sqref>F8:F47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82D02-CF47-4B8B-84FE-242809EA04E0}">
  <sheetPr>
    <tabColor theme="7"/>
  </sheetPr>
  <dimension ref="A1:L25"/>
  <sheetViews>
    <sheetView workbookViewId="0">
      <selection activeCell="J27" sqref="J27"/>
    </sheetView>
  </sheetViews>
  <sheetFormatPr defaultRowHeight="14.45"/>
  <cols>
    <col min="1" max="1" width="34.5703125" customWidth="1"/>
    <col min="2" max="2" width="10.7109375" bestFit="1" customWidth="1"/>
    <col min="3" max="3" width="14.5703125" bestFit="1" customWidth="1"/>
    <col min="4" max="4" width="12.5703125" bestFit="1" customWidth="1"/>
    <col min="6" max="6" width="17.7109375" customWidth="1"/>
  </cols>
  <sheetData>
    <row r="1" spans="1:12">
      <c r="A1" s="4" t="s">
        <v>67</v>
      </c>
      <c r="B1" s="4" t="s">
        <v>32</v>
      </c>
      <c r="C1" s="4" t="s">
        <v>68</v>
      </c>
      <c r="D1" s="4" t="s">
        <v>28</v>
      </c>
      <c r="E1" s="4" t="s">
        <v>49</v>
      </c>
      <c r="F1" s="4" t="s">
        <v>69</v>
      </c>
      <c r="G1" s="4"/>
      <c r="H1" s="4"/>
      <c r="I1" s="4"/>
      <c r="J1" s="4"/>
      <c r="K1" s="4"/>
      <c r="L1" s="4"/>
    </row>
    <row r="2" spans="1:12">
      <c r="A2" s="72" t="s">
        <v>70</v>
      </c>
      <c r="B2" t="s">
        <v>44</v>
      </c>
      <c r="C2" t="s">
        <v>71</v>
      </c>
      <c r="D2" t="s">
        <v>40</v>
      </c>
      <c r="E2" t="s">
        <v>38</v>
      </c>
      <c r="F2" s="72"/>
    </row>
    <row r="3" spans="1:12">
      <c r="A3" s="72" t="s">
        <v>35</v>
      </c>
      <c r="B3" t="s">
        <v>72</v>
      </c>
      <c r="C3" t="s">
        <v>73</v>
      </c>
      <c r="D3" t="s">
        <v>74</v>
      </c>
      <c r="E3" t="s">
        <v>37</v>
      </c>
      <c r="F3" s="72"/>
    </row>
    <row r="4" spans="1:12">
      <c r="A4" s="72"/>
      <c r="B4" t="s">
        <v>75</v>
      </c>
      <c r="C4" t="s">
        <v>76</v>
      </c>
      <c r="D4" t="s">
        <v>77</v>
      </c>
      <c r="E4" t="s">
        <v>55</v>
      </c>
      <c r="F4" s="72"/>
    </row>
    <row r="5" spans="1:12">
      <c r="A5" s="72"/>
      <c r="B5" t="s">
        <v>78</v>
      </c>
      <c r="F5" s="72"/>
    </row>
    <row r="6" spans="1:12">
      <c r="A6" s="72"/>
      <c r="B6" t="s">
        <v>79</v>
      </c>
      <c r="F6" s="72"/>
    </row>
    <row r="7" spans="1:12">
      <c r="A7" s="72"/>
      <c r="B7" t="s">
        <v>80</v>
      </c>
      <c r="F7" s="72"/>
    </row>
    <row r="8" spans="1:12">
      <c r="A8" s="72"/>
      <c r="F8" s="72"/>
    </row>
    <row r="9" spans="1:12">
      <c r="A9" s="72"/>
      <c r="F9" s="72"/>
    </row>
    <row r="10" spans="1:12">
      <c r="A10" s="72"/>
      <c r="F10" s="72"/>
    </row>
    <row r="11" spans="1:12">
      <c r="A11" s="72"/>
      <c r="F11" s="72"/>
    </row>
    <row r="12" spans="1:12">
      <c r="A12" s="72"/>
      <c r="F12" s="72"/>
    </row>
    <row r="13" spans="1:12">
      <c r="A13" s="72"/>
      <c r="F13" s="72"/>
    </row>
    <row r="14" spans="1:12">
      <c r="A14" s="72"/>
      <c r="F14" s="72"/>
    </row>
    <row r="15" spans="1:12">
      <c r="A15" s="72"/>
      <c r="F15" s="72"/>
    </row>
    <row r="16" spans="1:12">
      <c r="A16" s="72"/>
      <c r="F16" s="72"/>
    </row>
    <row r="17" spans="1:6">
      <c r="A17" s="72"/>
      <c r="F17" s="72"/>
    </row>
    <row r="18" spans="1:6">
      <c r="A18" s="72"/>
      <c r="F18" s="72"/>
    </row>
    <row r="19" spans="1:6">
      <c r="A19" s="72"/>
      <c r="F19" s="72"/>
    </row>
    <row r="20" spans="1:6">
      <c r="A20" s="72"/>
      <c r="F20" s="72"/>
    </row>
    <row r="21" spans="1:6">
      <c r="A21" s="72"/>
      <c r="F21" s="72"/>
    </row>
    <row r="22" spans="1:6">
      <c r="A22" s="72"/>
      <c r="F22" s="72"/>
    </row>
    <row r="23" spans="1:6">
      <c r="A23" s="72"/>
      <c r="F23" s="72"/>
    </row>
    <row r="24" spans="1:6">
      <c r="A24" s="72"/>
      <c r="F24" s="72"/>
    </row>
    <row r="25" spans="1:6">
      <c r="A25" s="72"/>
      <c r="F25" s="72"/>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cc61953-4379-4f11-a520-82c3247f4e2b">
      <Terms xmlns="http://schemas.microsoft.com/office/infopath/2007/PartnerControls"/>
    </lcf76f155ced4ddcb4097134ff3c332f>
    <TaxCatchAll xmlns="86ba2d13-143e-4103-9759-1d80ade3261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0E1E65471F22A4B85F35909F5AC5E62" ma:contentTypeVersion="12" ma:contentTypeDescription="Create a new document." ma:contentTypeScope="" ma:versionID="a28abc774ab182c159fb47b5a4a63bdb">
  <xsd:schema xmlns:xsd="http://www.w3.org/2001/XMLSchema" xmlns:xs="http://www.w3.org/2001/XMLSchema" xmlns:p="http://schemas.microsoft.com/office/2006/metadata/properties" xmlns:ns2="4cc61953-4379-4f11-a520-82c3247f4e2b" xmlns:ns3="86ba2d13-143e-4103-9759-1d80ade32610" targetNamespace="http://schemas.microsoft.com/office/2006/metadata/properties" ma:root="true" ma:fieldsID="6e15d441353f1ad33937c141cc5ac502" ns2:_="" ns3:_="">
    <xsd:import namespace="4cc61953-4379-4f11-a520-82c3247f4e2b"/>
    <xsd:import namespace="86ba2d13-143e-4103-9759-1d80ade3261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c61953-4379-4f11-a520-82c3247f4e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086eeed-4b88-4c7d-a0f5-6cd87513acc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6ba2d13-143e-4103-9759-1d80ade3261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85cef76-35e3-4f8b-b046-2d2596ade12d}" ma:internalName="TaxCatchAll" ma:showField="CatchAllData" ma:web="86ba2d13-143e-4103-9759-1d80ade326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89AAF8-9443-4665-8B08-58CDFD7D5478}"/>
</file>

<file path=customXml/itemProps2.xml><?xml version="1.0" encoding="utf-8"?>
<ds:datastoreItem xmlns:ds="http://schemas.openxmlformats.org/officeDocument/2006/customXml" ds:itemID="{69A123E5-21E3-4EBE-8204-24C0EEF3B95F}"/>
</file>

<file path=customXml/itemProps3.xml><?xml version="1.0" encoding="utf-8"?>
<ds:datastoreItem xmlns:ds="http://schemas.openxmlformats.org/officeDocument/2006/customXml" ds:itemID="{E65CBC56-8ABF-4E7D-AD79-DCD311ECAC6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Blair Prinz</dc:creator>
  <cp:keywords/>
  <dc:description/>
  <cp:lastModifiedBy/>
  <cp:revision/>
  <dcterms:created xsi:type="dcterms:W3CDTF">2021-11-09T15:13:21Z</dcterms:created>
  <dcterms:modified xsi:type="dcterms:W3CDTF">2026-07-06T17:56:27Z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0x01010090E1E65471F22A4B85F35909F5AC5E62</vt:lpwstr>
  </property>
  <property fmtid="{D5CDD505-2E9C-101B-9397-08002B2CF9AE}" pid="3" name="Order">
    <vt:r8>239600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