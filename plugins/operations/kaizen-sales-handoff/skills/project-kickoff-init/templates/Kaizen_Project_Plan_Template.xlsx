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by Falconer\Desktop\"/>
    </mc:Choice>
  </mc:AlternateContent>
  <xr:revisionPtr revIDLastSave="0" documentId="8_{4C0888D6-68F1-494F-BDE1-1017F7A05BF8}" xr6:coauthVersionLast="47" xr6:coauthVersionMax="47" xr10:uidLastSave="{00000000-0000-0000-0000-000000000000}"/>
  <bookViews>
    <workbookView xWindow="-108" yWindow="-108" windowWidth="23256" windowHeight="12456" xr2:uid="{94F31C84-FBC1-4414-BD7D-3911F6508151}"/>
  </bookViews>
  <sheets>
    <sheet name="Architecture" sheetId="4" r:id="rId1"/>
    <sheet name="ResourceList" sheetId="9" r:id="rId2"/>
    <sheet name="Status" sheetId="10" r:id="rId3"/>
  </sheets>
  <definedNames>
    <definedName name="_xlnm._FilterDatabase" localSheetId="0" hidden="1">Architecture!$C$1:$CE$189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I173" i="4"/>
  <c r="H173" i="4"/>
  <c r="I152" i="4"/>
  <c r="H152" i="4"/>
  <c r="I131" i="4"/>
  <c r="H131" i="4"/>
  <c r="I110" i="4"/>
  <c r="H110" i="4"/>
  <c r="I89" i="4"/>
  <c r="H89" i="4"/>
  <c r="I68" i="4"/>
  <c r="H68" i="4"/>
  <c r="I47" i="4"/>
  <c r="H47" i="4"/>
  <c r="I26" i="4"/>
  <c r="I5" i="4"/>
  <c r="H5" i="4"/>
  <c r="J4" i="4"/>
  <c r="K4" i="4"/>
  <c r="L4" i="4"/>
  <c r="M4" i="4"/>
  <c r="K2" i="4"/>
  <c r="L2" i="4"/>
  <c r="K3" i="4"/>
  <c r="L3" i="4"/>
  <c r="M3" i="4"/>
  <c r="M2" i="4"/>
  <c r="N4" i="4"/>
  <c r="O4" i="4"/>
  <c r="N3" i="4"/>
  <c r="N2" i="4"/>
  <c r="O3" i="4"/>
  <c r="O2" i="4"/>
  <c r="P4" i="4"/>
  <c r="P2" i="4"/>
  <c r="Q4" i="4"/>
  <c r="P3" i="4"/>
  <c r="Q2" i="4"/>
  <c r="R4" i="4"/>
  <c r="Q3" i="4"/>
  <c r="R2" i="4"/>
  <c r="S4" i="4"/>
  <c r="R3" i="4"/>
  <c r="T4" i="4"/>
  <c r="S3" i="4"/>
  <c r="S2" i="4"/>
  <c r="T2" i="4"/>
  <c r="T3" i="4"/>
  <c r="U4" i="4"/>
  <c r="U3" i="4"/>
  <c r="U2" i="4"/>
  <c r="V4" i="4"/>
  <c r="V3" i="4"/>
  <c r="W4" i="4"/>
  <c r="V2" i="4"/>
  <c r="W3" i="4"/>
  <c r="W2" i="4"/>
  <c r="X4" i="4"/>
  <c r="X2" i="4"/>
  <c r="X3" i="4"/>
  <c r="Y4" i="4"/>
  <c r="Y2" i="4"/>
  <c r="Z4" i="4"/>
  <c r="Y3" i="4"/>
  <c r="AA4" i="4"/>
  <c r="Z3" i="4"/>
  <c r="Z2" i="4"/>
  <c r="AB4" i="4"/>
  <c r="AA3" i="4"/>
  <c r="AA2" i="4"/>
  <c r="AB3" i="4"/>
  <c r="AB2" i="4"/>
  <c r="AC4" i="4"/>
  <c r="AC3" i="4"/>
  <c r="AC2" i="4"/>
  <c r="AD4" i="4"/>
  <c r="AD3" i="4"/>
  <c r="AD2" i="4"/>
  <c r="AE4" i="4"/>
  <c r="AE3" i="4"/>
  <c r="AE2" i="4"/>
  <c r="AF4" i="4"/>
  <c r="AF2" i="4"/>
  <c r="AG4" i="4"/>
  <c r="AF3" i="4"/>
  <c r="AG2" i="4"/>
  <c r="AH4" i="4"/>
  <c r="AG3" i="4"/>
  <c r="AI4" i="4"/>
  <c r="AH2" i="4"/>
  <c r="AH3" i="4"/>
  <c r="AJ4" i="4"/>
  <c r="AI3" i="4"/>
  <c r="AI2" i="4"/>
  <c r="AJ3" i="4"/>
  <c r="AJ2" i="4"/>
  <c r="AK4" i="4"/>
  <c r="AK3" i="4"/>
  <c r="AK2" i="4"/>
  <c r="AL4" i="4"/>
  <c r="AL3" i="4"/>
  <c r="AM4" i="4"/>
  <c r="AL2" i="4"/>
  <c r="AM3" i="4"/>
  <c r="AM2" i="4"/>
  <c r="AN4" i="4"/>
  <c r="AN2" i="4"/>
  <c r="AO4" i="4"/>
  <c r="AN3" i="4"/>
  <c r="AO2" i="4"/>
  <c r="AP4" i="4"/>
  <c r="AO3" i="4"/>
  <c r="AP2" i="4"/>
  <c r="AQ4" i="4"/>
  <c r="AP3" i="4"/>
  <c r="AR4" i="4"/>
  <c r="AQ3" i="4"/>
  <c r="AQ2" i="4"/>
  <c r="AR2" i="4"/>
  <c r="AR3" i="4"/>
  <c r="AS4" i="4"/>
  <c r="AS3" i="4"/>
  <c r="AS2" i="4"/>
  <c r="AT4" i="4"/>
  <c r="AT3" i="4"/>
  <c r="AU4" i="4"/>
  <c r="AT2" i="4"/>
  <c r="AU3" i="4"/>
  <c r="AU2" i="4"/>
  <c r="AV4" i="4"/>
  <c r="AW4" i="4"/>
  <c r="AX4" i="4"/>
  <c r="AV2" i="4"/>
  <c r="AW2" i="4"/>
  <c r="AV3" i="4"/>
  <c r="AW3" i="4"/>
  <c r="AX3" i="4"/>
  <c r="AY4" i="4"/>
  <c r="AX2" i="4"/>
  <c r="AY3" i="4"/>
  <c r="AZ4" i="4"/>
  <c r="AY2" i="4"/>
  <c r="AZ3" i="4"/>
  <c r="BA4" i="4"/>
  <c r="AZ2" i="4"/>
  <c r="BB4" i="4"/>
  <c r="BA2" i="4"/>
  <c r="BA3" i="4"/>
  <c r="BB2" i="4"/>
  <c r="BC4" i="4"/>
  <c r="BB3" i="4"/>
  <c r="BC2" i="4"/>
  <c r="BD4" i="4"/>
  <c r="BC3" i="4"/>
  <c r="BE4" i="4"/>
  <c r="BD2" i="4"/>
  <c r="BD3" i="4"/>
  <c r="BE2" i="4"/>
  <c r="BF4" i="4"/>
  <c r="BE3" i="4"/>
  <c r="BG4" i="4"/>
  <c r="BF2" i="4"/>
  <c r="BF3" i="4"/>
  <c r="BG3" i="4"/>
  <c r="BG2" i="4"/>
  <c r="BH4" i="4"/>
  <c r="BI4" i="4"/>
  <c r="BH3" i="4"/>
  <c r="BH2" i="4"/>
  <c r="BI3" i="4"/>
  <c r="BJ4" i="4"/>
  <c r="BI2" i="4"/>
  <c r="BJ3" i="4"/>
  <c r="BK4" i="4"/>
  <c r="BJ2" i="4"/>
  <c r="BK3" i="4"/>
  <c r="BL4" i="4"/>
  <c r="BK2" i="4"/>
  <c r="BM4" i="4"/>
  <c r="BL3" i="4"/>
  <c r="BL2" i="4"/>
  <c r="BM3" i="4"/>
  <c r="BN4" i="4"/>
  <c r="BM2" i="4"/>
  <c r="BN3" i="4"/>
  <c r="BO4" i="4"/>
  <c r="BN2" i="4"/>
  <c r="BP4" i="4"/>
  <c r="BQ4" i="4"/>
  <c r="BO3" i="4"/>
  <c r="BO2" i="4"/>
  <c r="BR4" i="4"/>
  <c r="BS4" i="4"/>
  <c r="BP3" i="4"/>
  <c r="BQ3" i="4"/>
  <c r="BP2" i="4"/>
  <c r="BQ2" i="4"/>
  <c r="BR2" i="4"/>
  <c r="BS2" i="4"/>
  <c r="BR3" i="4"/>
  <c r="BS3" i="4"/>
  <c r="BT4" i="4"/>
  <c r="BT3" i="4"/>
  <c r="BU4" i="4"/>
  <c r="BT2" i="4"/>
  <c r="BV4" i="4"/>
  <c r="BU2" i="4"/>
  <c r="BU3" i="4"/>
  <c r="BW4" i="4"/>
  <c r="BV2" i="4"/>
  <c r="BV3" i="4"/>
  <c r="BW2" i="4"/>
  <c r="BX4" i="4"/>
  <c r="BW3" i="4"/>
  <c r="BY4" i="4"/>
  <c r="BX2" i="4"/>
  <c r="BX3" i="4"/>
  <c r="BZ4" i="4"/>
  <c r="CA4" i="4"/>
  <c r="BY2" i="4"/>
  <c r="BY3" i="4"/>
  <c r="CB4" i="4"/>
  <c r="CC4" i="4"/>
  <c r="CD4" i="4"/>
  <c r="CE4" i="4"/>
  <c r="CF4" i="4"/>
  <c r="BZ3" i="4"/>
  <c r="CA3" i="4"/>
  <c r="BZ2" i="4"/>
  <c r="CA2" i="4"/>
  <c r="CB2" i="4"/>
  <c r="CC2" i="4"/>
  <c r="CD2" i="4"/>
  <c r="CE2" i="4"/>
  <c r="CB3" i="4"/>
  <c r="CC3" i="4"/>
  <c r="CG4" i="4"/>
  <c r="CF2" i="4"/>
  <c r="CD3" i="4"/>
  <c r="CE3" i="4"/>
  <c r="CF3" i="4"/>
  <c r="CG2" i="4"/>
  <c r="CH4" i="4"/>
  <c r="CG3" i="4"/>
  <c r="CH2" i="4"/>
  <c r="CI4" i="4"/>
  <c r="CH3" i="4"/>
  <c r="CI2" i="4"/>
  <c r="CI3" i="4"/>
  <c r="CJ4" i="4"/>
  <c r="CJ2" i="4"/>
  <c r="CJ3" i="4"/>
  <c r="CK4" i="4"/>
  <c r="CK2" i="4"/>
  <c r="CK3" i="4"/>
  <c r="CL4" i="4"/>
  <c r="CM4" i="4"/>
  <c r="CL2" i="4"/>
  <c r="CL3" i="4"/>
  <c r="CN4" i="4"/>
  <c r="CM2" i="4"/>
  <c r="CM3" i="4"/>
  <c r="CN3" i="4"/>
  <c r="CO4" i="4"/>
  <c r="CN2" i="4"/>
  <c r="CO2" i="4"/>
  <c r="CO3" i="4"/>
  <c r="CP4" i="4"/>
  <c r="CP2" i="4"/>
  <c r="CQ4" i="4"/>
  <c r="CP3" i="4"/>
  <c r="CQ2" i="4"/>
  <c r="CQ3" i="4"/>
  <c r="CR4" i="4"/>
  <c r="CR2" i="4"/>
  <c r="CR3" i="4"/>
  <c r="CS4" i="4"/>
  <c r="CT4" i="4"/>
  <c r="CS2" i="4"/>
  <c r="CS3" i="4"/>
  <c r="CU4" i="4"/>
  <c r="CT3" i="4"/>
  <c r="CT2" i="4"/>
  <c r="CV4" i="4"/>
  <c r="CU3" i="4"/>
  <c r="CU2" i="4"/>
  <c r="CV3" i="4"/>
  <c r="CW4" i="4"/>
  <c r="CV2" i="4"/>
  <c r="CW2" i="4"/>
  <c r="CW3" i="4"/>
  <c r="CX4" i="4"/>
  <c r="CX2" i="4"/>
  <c r="CX3" i="4"/>
  <c r="CY4" i="4"/>
  <c r="CY2" i="4"/>
  <c r="CY3" i="4"/>
  <c r="CZ4" i="4"/>
  <c r="CZ2" i="4"/>
  <c r="CZ3" i="4"/>
  <c r="DA4" i="4"/>
  <c r="DA2" i="4"/>
  <c r="DA3" i="4"/>
  <c r="DB4" i="4"/>
  <c r="DC4" i="4"/>
  <c r="DB2" i="4"/>
  <c r="DB3" i="4"/>
  <c r="DC3" i="4"/>
  <c r="DD4" i="4"/>
  <c r="DC2" i="4"/>
  <c r="DD3" i="4"/>
  <c r="DE4" i="4"/>
  <c r="DD2" i="4"/>
  <c r="DE2" i="4"/>
  <c r="DE3" i="4"/>
  <c r="DF4" i="4"/>
  <c r="DF2" i="4"/>
  <c r="DF3" i="4"/>
  <c r="DG4" i="4"/>
  <c r="DG2" i="4"/>
  <c r="DG3" i="4"/>
  <c r="DH4" i="4"/>
  <c r="DH2" i="4"/>
  <c r="DH3" i="4"/>
  <c r="DI4" i="4"/>
  <c r="DJ4" i="4"/>
  <c r="DI2" i="4"/>
  <c r="DI3" i="4"/>
  <c r="DK4" i="4"/>
  <c r="DJ2" i="4"/>
  <c r="DJ3" i="4"/>
  <c r="DL4" i="4"/>
  <c r="DK2" i="4"/>
  <c r="DK3" i="4"/>
  <c r="DL3" i="4"/>
  <c r="DM4" i="4"/>
  <c r="DL2" i="4"/>
  <c r="DM2" i="4"/>
  <c r="DM3" i="4"/>
  <c r="DN4" i="4"/>
  <c r="DN2" i="4"/>
  <c r="DN3" i="4"/>
  <c r="DO4" i="4"/>
  <c r="DO2" i="4"/>
  <c r="DO3" i="4"/>
  <c r="DP4" i="4"/>
  <c r="DP3" i="4"/>
  <c r="DQ4" i="4"/>
  <c r="DP2" i="4"/>
  <c r="DQ3" i="4"/>
  <c r="DR4" i="4"/>
  <c r="DQ2" i="4"/>
  <c r="DS4" i="4"/>
  <c r="DR3" i="4"/>
  <c r="DR2" i="4"/>
  <c r="DT4" i="4"/>
  <c r="DS2" i="4"/>
  <c r="DS3" i="4"/>
  <c r="DT3" i="4"/>
  <c r="DU4" i="4"/>
  <c r="DT2" i="4"/>
  <c r="DU2" i="4"/>
  <c r="DU3" i="4"/>
  <c r="DV4" i="4"/>
  <c r="DV2" i="4"/>
  <c r="DV3" i="4"/>
  <c r="DW4" i="4"/>
  <c r="DW2" i="4"/>
  <c r="DW3" i="4"/>
  <c r="DX4" i="4"/>
  <c r="DX2" i="4"/>
  <c r="DY4" i="4"/>
  <c r="DX3" i="4"/>
  <c r="DY2" i="4"/>
  <c r="DY3" i="4"/>
  <c r="DZ4" i="4"/>
  <c r="EA4" i="4"/>
  <c r="DZ3" i="4"/>
  <c r="DZ2" i="4"/>
  <c r="EB4" i="4"/>
  <c r="EA3" i="4"/>
  <c r="EA2" i="4"/>
  <c r="EB3" i="4"/>
  <c r="EB2" i="4"/>
  <c r="EC4" i="4"/>
  <c r="EC2" i="4"/>
  <c r="EC3" i="4"/>
  <c r="ED4" i="4"/>
  <c r="ED2" i="4"/>
  <c r="ED3" i="4"/>
  <c r="EE4" i="4"/>
  <c r="EE2" i="4"/>
  <c r="EE3" i="4"/>
  <c r="EF4" i="4"/>
  <c r="EF2" i="4"/>
  <c r="EF3" i="4"/>
  <c r="EG4" i="4"/>
  <c r="EG2" i="4"/>
  <c r="EG3" i="4"/>
  <c r="EH4" i="4"/>
  <c r="EI4" i="4"/>
  <c r="EH2" i="4"/>
  <c r="EH3" i="4"/>
  <c r="EJ4" i="4"/>
  <c r="EI2" i="4"/>
  <c r="EI3" i="4"/>
  <c r="EJ3" i="4"/>
  <c r="EK4" i="4"/>
  <c r="EJ2" i="4"/>
  <c r="EK2" i="4"/>
  <c r="EK3" i="4"/>
  <c r="EL4" i="4"/>
  <c r="EL2" i="4"/>
  <c r="EL3" i="4"/>
  <c r="EM4" i="4"/>
  <c r="EM2" i="4"/>
  <c r="EM3" i="4"/>
  <c r="EN4" i="4"/>
  <c r="EN2" i="4"/>
  <c r="EN3" i="4"/>
  <c r="EO4" i="4"/>
  <c r="EO2" i="4"/>
  <c r="EP4" i="4"/>
  <c r="EO3" i="4"/>
  <c r="EQ4" i="4"/>
  <c r="EP3" i="4"/>
  <c r="EP2" i="4"/>
  <c r="ER4" i="4"/>
  <c r="EQ3" i="4"/>
  <c r="EQ2" i="4"/>
  <c r="ER3" i="4"/>
  <c r="ES4" i="4"/>
  <c r="ER2" i="4"/>
  <c r="ET4" i="4"/>
  <c r="ES2" i="4"/>
  <c r="ES3" i="4"/>
  <c r="ET2" i="4"/>
  <c r="ET3" i="4"/>
  <c r="EU4" i="4"/>
  <c r="EU2" i="4"/>
  <c r="EU3" i="4"/>
  <c r="EV4" i="4"/>
  <c r="EV3" i="4"/>
  <c r="EW4" i="4"/>
  <c r="EV2" i="4"/>
  <c r="EX4" i="4"/>
  <c r="EW3" i="4"/>
  <c r="EW2" i="4"/>
  <c r="EX2" i="4"/>
  <c r="EY4" i="4"/>
  <c r="EX3" i="4"/>
  <c r="EY2" i="4"/>
  <c r="EZ4" i="4"/>
  <c r="EY3" i="4"/>
  <c r="EZ2" i="4"/>
  <c r="EZ3" i="4"/>
  <c r="FA4" i="4"/>
  <c r="FA2" i="4"/>
  <c r="FA3" i="4"/>
  <c r="FB4" i="4"/>
  <c r="FB2" i="4"/>
  <c r="FC4" i="4"/>
  <c r="FB3" i="4"/>
  <c r="FD4" i="4"/>
  <c r="FC2" i="4"/>
  <c r="FC3" i="4"/>
  <c r="FE4" i="4"/>
  <c r="FD2" i="4"/>
  <c r="FD3" i="4"/>
  <c r="FE2" i="4"/>
  <c r="FF4" i="4"/>
  <c r="FE3" i="4"/>
  <c r="FG4" i="4"/>
  <c r="FF2" i="4"/>
  <c r="FF3" i="4"/>
  <c r="FG3" i="4"/>
  <c r="FH4" i="4"/>
  <c r="FG2" i="4"/>
  <c r="FH2" i="4"/>
  <c r="FH3" i="4"/>
  <c r="FI4" i="4"/>
  <c r="FI3" i="4"/>
  <c r="FJ4" i="4"/>
  <c r="FI2" i="4"/>
  <c r="FJ2" i="4"/>
  <c r="FK4" i="4"/>
  <c r="FJ3" i="4"/>
  <c r="FK2" i="4"/>
  <c r="FL4" i="4"/>
  <c r="FK3" i="4"/>
  <c r="FL2" i="4"/>
  <c r="FM4" i="4"/>
  <c r="FL3" i="4"/>
  <c r="FM3" i="4"/>
  <c r="FN4" i="4"/>
  <c r="FM2" i="4"/>
  <c r="FO4" i="4"/>
  <c r="FN2" i="4"/>
  <c r="FN3" i="4"/>
  <c r="FP4" i="4"/>
  <c r="FO2" i="4"/>
  <c r="FO3" i="4"/>
  <c r="FP3" i="4"/>
  <c r="FP2" i="4"/>
  <c r="FQ4" i="4"/>
  <c r="FQ2" i="4"/>
  <c r="FQ3" i="4"/>
  <c r="FR4" i="4"/>
  <c r="FR2" i="4"/>
  <c r="FS4" i="4"/>
  <c r="FR3" i="4"/>
  <c r="FS2" i="4"/>
  <c r="FS3" i="4"/>
  <c r="FT4" i="4"/>
  <c r="FT2" i="4"/>
  <c r="FT3" i="4"/>
  <c r="FU4" i="4"/>
  <c r="FV4" i="4"/>
  <c r="FU2" i="4"/>
  <c r="FU3" i="4"/>
  <c r="FV3" i="4"/>
  <c r="FW4" i="4"/>
  <c r="FV2" i="4"/>
  <c r="FW2" i="4"/>
  <c r="FX4" i="4"/>
  <c r="FW3" i="4"/>
  <c r="FX3" i="4"/>
  <c r="FX2" i="4"/>
  <c r="FY4" i="4"/>
  <c r="FY2" i="4"/>
  <c r="FY3" i="4"/>
  <c r="FZ4" i="4"/>
  <c r="FZ2" i="4"/>
  <c r="FZ3" i="4"/>
  <c r="GA4" i="4"/>
  <c r="GB4" i="4"/>
  <c r="GA3" i="4"/>
  <c r="GA2" i="4"/>
  <c r="GB2" i="4"/>
  <c r="GC4" i="4"/>
  <c r="GB3" i="4"/>
  <c r="GC2" i="4"/>
  <c r="GD4" i="4"/>
  <c r="GC3" i="4"/>
  <c r="GE4" i="4"/>
  <c r="GD3" i="4"/>
  <c r="GD2" i="4"/>
  <c r="GE2" i="4"/>
  <c r="GE3" i="4"/>
  <c r="GF4" i="4"/>
  <c r="GF3" i="4"/>
  <c r="GF2" i="4"/>
  <c r="GG4" i="4"/>
  <c r="GG2" i="4"/>
  <c r="GH4" i="4"/>
  <c r="GG3" i="4"/>
  <c r="GH2" i="4"/>
  <c r="GH3" i="4"/>
  <c r="GI4" i="4"/>
  <c r="GJ4" i="4"/>
  <c r="GI3" i="4"/>
  <c r="GI2" i="4"/>
  <c r="GJ2" i="4"/>
  <c r="GK4" i="4"/>
  <c r="GJ3" i="4"/>
  <c r="GL4" i="4"/>
  <c r="GK3" i="4"/>
  <c r="GK2" i="4"/>
  <c r="GM4" i="4"/>
  <c r="GL2" i="4"/>
  <c r="GL3" i="4"/>
  <c r="GN4" i="4"/>
  <c r="GM2" i="4"/>
  <c r="GM3" i="4"/>
  <c r="GO4" i="4"/>
  <c r="GN3" i="4"/>
  <c r="GN2" i="4"/>
  <c r="GO2" i="4"/>
  <c r="GP4" i="4"/>
  <c r="GO3" i="4"/>
  <c r="GP3" i="4"/>
  <c r="GP2" i="4"/>
  <c r="GQ4" i="4"/>
  <c r="GQ2" i="4"/>
  <c r="GQ3" i="4"/>
  <c r="GR4" i="4"/>
  <c r="GR2" i="4"/>
  <c r="GR3" i="4"/>
  <c r="GS4" i="4"/>
  <c r="GT4" i="4"/>
  <c r="GS3" i="4"/>
  <c r="GS2" i="4"/>
  <c r="GT3" i="4"/>
  <c r="GU4" i="4"/>
  <c r="GT2" i="4"/>
  <c r="GU2" i="4"/>
  <c r="GU3" i="4"/>
  <c r="GV4" i="4"/>
  <c r="GW4" i="4"/>
  <c r="GV2" i="4"/>
  <c r="GV3" i="4"/>
  <c r="GW2" i="4"/>
  <c r="GX4" i="4"/>
  <c r="GW3" i="4"/>
  <c r="GX2" i="4"/>
  <c r="GY4" i="4"/>
  <c r="GX3" i="4"/>
  <c r="GY3" i="4"/>
  <c r="GY2" i="4"/>
  <c r="GZ4" i="4"/>
  <c r="GZ3" i="4"/>
  <c r="GZ2" i="4"/>
  <c r="HA4" i="4"/>
  <c r="HB4" i="4"/>
  <c r="HA2" i="4"/>
  <c r="HA3" i="4"/>
  <c r="HB3" i="4"/>
  <c r="HB2" i="4"/>
  <c r="HC4" i="4"/>
  <c r="HD4" i="4"/>
  <c r="HC2" i="4"/>
  <c r="HC3" i="4"/>
  <c r="HE4" i="4"/>
  <c r="HD2" i="4"/>
  <c r="HD3" i="4"/>
  <c r="HE2" i="4"/>
  <c r="HE3" i="4"/>
  <c r="HF4" i="4"/>
  <c r="HF2" i="4"/>
  <c r="HG4" i="4"/>
  <c r="HF3" i="4"/>
  <c r="HG2" i="4"/>
  <c r="HH4" i="4"/>
  <c r="HG3" i="4"/>
  <c r="HH2" i="4"/>
  <c r="HI4" i="4"/>
  <c r="HH3" i="4"/>
  <c r="HI2" i="4"/>
  <c r="HI3" i="4"/>
  <c r="HJ4" i="4"/>
  <c r="HJ2" i="4"/>
  <c r="HJ3" i="4"/>
  <c r="HK4" i="4"/>
  <c r="HK2" i="4"/>
  <c r="HL4" i="4"/>
  <c r="HK3" i="4"/>
  <c r="HL3" i="4"/>
  <c r="HL2" i="4"/>
  <c r="HM4" i="4"/>
  <c r="HM2" i="4"/>
  <c r="HM3" i="4"/>
  <c r="HN4" i="4"/>
  <c r="HN2" i="4"/>
  <c r="HN3" i="4"/>
  <c r="HO4" i="4"/>
  <c r="HO2" i="4"/>
  <c r="HO3" i="4"/>
  <c r="HP4" i="4"/>
  <c r="HP3" i="4"/>
  <c r="HP2" i="4"/>
  <c r="HQ4" i="4"/>
  <c r="HQ2" i="4"/>
  <c r="HR4" i="4"/>
  <c r="HQ3" i="4"/>
  <c r="HS4" i="4"/>
  <c r="HR2" i="4"/>
  <c r="HR3" i="4"/>
  <c r="HS3" i="4"/>
  <c r="HT4" i="4"/>
  <c r="HS2" i="4"/>
  <c r="HT3" i="4"/>
  <c r="HT2" i="4"/>
  <c r="HU4" i="4"/>
  <c r="HU2" i="4"/>
  <c r="HV4" i="4"/>
  <c r="HU3" i="4"/>
  <c r="HV2" i="4"/>
  <c r="HW4" i="4"/>
  <c r="HV3" i="4"/>
  <c r="HW3" i="4"/>
  <c r="HX4" i="4"/>
  <c r="HW2" i="4"/>
  <c r="HX2" i="4"/>
  <c r="HY4" i="4"/>
  <c r="HX3" i="4"/>
  <c r="HZ4" i="4"/>
  <c r="HY3" i="4"/>
  <c r="HY2" i="4"/>
  <c r="HZ2" i="4"/>
  <c r="HZ3" i="4"/>
  <c r="IA4" i="4"/>
  <c r="IA3" i="4"/>
  <c r="IB4" i="4"/>
  <c r="IA2" i="4"/>
  <c r="IB2" i="4"/>
  <c r="IC4" i="4"/>
  <c r="IB3" i="4"/>
  <c r="ID4" i="4"/>
  <c r="IC2" i="4"/>
  <c r="IC3" i="4"/>
  <c r="IE4" i="4"/>
  <c r="ID2" i="4"/>
  <c r="ID3" i="4"/>
  <c r="IE2" i="4"/>
  <c r="IE3" i="4"/>
  <c r="IF4" i="4"/>
  <c r="IF2" i="4"/>
  <c r="IF3" i="4"/>
  <c r="IG4" i="4"/>
  <c r="IG2" i="4"/>
  <c r="IG3" i="4"/>
  <c r="IH4" i="4"/>
  <c r="IH3" i="4"/>
  <c r="IH2" i="4"/>
  <c r="II4" i="4"/>
  <c r="IJ4" i="4"/>
  <c r="II2" i="4"/>
  <c r="II3" i="4"/>
  <c r="IJ3" i="4"/>
  <c r="IK4" i="4"/>
  <c r="IJ2" i="4"/>
  <c r="IL4" i="4"/>
  <c r="IK3" i="4"/>
  <c r="IK2" i="4"/>
  <c r="IL2" i="4"/>
  <c r="IM4" i="4"/>
  <c r="IL3" i="4"/>
  <c r="IM2" i="4"/>
  <c r="IN4" i="4"/>
  <c r="IM3" i="4"/>
  <c r="IN3" i="4"/>
  <c r="IN2" i="4"/>
  <c r="IO4" i="4"/>
  <c r="IO2" i="4"/>
  <c r="IO3" i="4"/>
  <c r="IP4" i="4"/>
  <c r="IP2" i="4"/>
  <c r="IP3" i="4"/>
  <c r="IQ4" i="4"/>
  <c r="IQ3" i="4"/>
  <c r="IR4" i="4"/>
  <c r="IQ2" i="4"/>
  <c r="IR3" i="4"/>
  <c r="IS4" i="4"/>
  <c r="IR2" i="4"/>
  <c r="IT4" i="4"/>
  <c r="IS3" i="4"/>
  <c r="IS2" i="4"/>
  <c r="IT3" i="4"/>
  <c r="IT2" i="4"/>
  <c r="IU4" i="4"/>
  <c r="IV4" i="4"/>
  <c r="IU2" i="4"/>
  <c r="IU3" i="4"/>
  <c r="IV2" i="4"/>
  <c r="IV3" i="4"/>
  <c r="IW4" i="4"/>
  <c r="IW2" i="4"/>
  <c r="IX4" i="4"/>
  <c r="IW3" i="4"/>
  <c r="IX2" i="4"/>
  <c r="IX3" i="4"/>
  <c r="IY4" i="4"/>
  <c r="IY3" i="4"/>
  <c r="IZ4" i="4"/>
  <c r="IY2" i="4"/>
  <c r="JA4" i="4"/>
  <c r="IZ3" i="4"/>
  <c r="IZ2" i="4"/>
  <c r="JB4" i="4"/>
  <c r="JA3" i="4"/>
  <c r="JA2" i="4"/>
  <c r="JB2" i="4"/>
  <c r="JB3" i="4"/>
  <c r="JC4" i="4"/>
  <c r="JC2" i="4"/>
  <c r="JD4" i="4"/>
  <c r="JC3" i="4"/>
  <c r="JD3" i="4"/>
  <c r="JD2" i="4"/>
  <c r="JE4" i="4"/>
  <c r="JE3" i="4"/>
  <c r="JF4" i="4"/>
  <c r="JE2" i="4"/>
  <c r="JG4" i="4"/>
  <c r="JF2" i="4"/>
  <c r="JF3" i="4"/>
  <c r="JG3" i="4"/>
  <c r="JG2" i="4"/>
  <c r="JH4" i="4"/>
  <c r="JH3" i="4"/>
  <c r="JI4" i="4"/>
  <c r="JH2" i="4"/>
  <c r="JI2" i="4"/>
  <c r="JI3" i="4"/>
</calcChain>
</file>

<file path=xl/sharedStrings.xml><?xml version="1.0" encoding="utf-8"?>
<sst xmlns="http://schemas.openxmlformats.org/spreadsheetml/2006/main" count="224" uniqueCount="31">
  <si>
    <t xml:space="preserve">   Project Plan</t>
  </si>
  <si>
    <t>Project Start Date:</t>
  </si>
  <si>
    <t>Week</t>
  </si>
  <si>
    <t>Status</t>
  </si>
  <si>
    <t>Assigned To</t>
  </si>
  <si>
    <t>Secondary</t>
  </si>
  <si>
    <t>Start Date</t>
  </si>
  <si>
    <t>End Date</t>
  </si>
  <si>
    <t>Workstream 1</t>
  </si>
  <si>
    <t>On Track</t>
  </si>
  <si>
    <t>TASK</t>
  </si>
  <si>
    <t>Complete</t>
  </si>
  <si>
    <t>Needs Attn</t>
  </si>
  <si>
    <t>Workstream 2</t>
  </si>
  <si>
    <t>On Hold</t>
  </si>
  <si>
    <t>Workstream 3</t>
  </si>
  <si>
    <t>Workstream 4</t>
  </si>
  <si>
    <t>Workstream 5</t>
  </si>
  <si>
    <t>Workstream 6</t>
  </si>
  <si>
    <t>Workstream 7</t>
  </si>
  <si>
    <t>Workstream 8</t>
  </si>
  <si>
    <t>Workstream 9</t>
  </si>
  <si>
    <t>Organization</t>
  </si>
  <si>
    <t>Name</t>
  </si>
  <si>
    <t>Role</t>
  </si>
  <si>
    <t>Kaizen</t>
  </si>
  <si>
    <t>Resource 1</t>
  </si>
  <si>
    <t>Engament Lead</t>
  </si>
  <si>
    <t>Resource 2</t>
  </si>
  <si>
    <t>Developer</t>
  </si>
  <si>
    <t>Resource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</si>
</sst>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;@"/>
    <numFmt numFmtId="165" formatCode="m/d;@"/>
    <numFmt numFmtId="166" formatCode="_(&quot;$&quot;* #,##0_);_(&quot;$&quot;* \(#,##0\);_(&quot;$&quot;* &quot;-&quot;??_);_(@_)"/>
  </numFmts>
  <fonts count="1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textRotation="45" wrapText="1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16" fontId="2" fillId="0" borderId="6" xfId="0" applyNumberFormat="1" applyFont="1" applyBorder="1" applyAlignment="1">
      <alignment horizontal="center" vertical="center" wrapText="1"/>
    </xf>
    <xf numFmtId="16" fontId="2" fillId="0" borderId="2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8" fillId="5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65" fontId="1" fillId="2" borderId="7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3" fillId="2" borderId="12" xfId="0" applyFont="1" applyFill="1" applyBorder="1" applyAlignment="1">
      <alignment horizontal="center" vertical="center" wrapText="1"/>
    </xf>
    <xf numFmtId="165" fontId="1" fillId="2" borderId="13" xfId="0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0" fontId="2" fillId="6" borderId="2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" fontId="12" fillId="4" borderId="1" xfId="0" applyNumberFormat="1" applyFont="1" applyFill="1" applyBorder="1" applyAlignment="1">
      <alignment horizontal="center" vertical="center" wrapText="1"/>
    </xf>
    <xf numFmtId="16" fontId="12" fillId="4" borderId="3" xfId="0" applyNumberFormat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308"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505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  <border>
        <right style="thin">
          <color rgb="FFFFC000"/>
        </right>
        <vertical/>
        <horizontal/>
      </border>
    </dxf>
  </dxfs>
  <tableStyles count="0" defaultTableStyle="TableStyleMedium2" defaultPivotStyle="PivotStyleLight16"/>
  <colors>
    <mruColors>
      <color rgb="FFFF5050"/>
      <color rgb="FFFFF2CC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273051</xdr:colOff>
      <xdr:row>2</xdr:row>
      <xdr:rowOff>44733</xdr:rowOff>
    </xdr:from>
    <xdr:to>
      <xdr:col>3</xdr:col>
      <xdr:colOff>831530</xdr:colOff>
      <xdr:row>3</xdr:row>
      <xdr:rowOff>369053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27A22-2AB2-3419-FAD9-139A08237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963" y="571409"/>
          <a:ext cx="558479" cy="548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1DA9-1FB4-49B1-8EF0-CD7FD6796AB6}">
  <sheetPr>
    <pageSetUpPr autoPageBreaks="0"/>
  </sheetPr>
  <dimension ref="B1:JI194"/>
  <sheetViews>
    <sheetView showGridLines="0" tabSelected="1" zoomScale="85" zoomScaleNormal="85" workbookViewId="0">
      <pane xSplit="4" ySplit="4" topLeftCell="E5" activePane="bottomRight" state="frozen"/>
      <selection pane="bottomRight" activeCell="F9" sqref="F9"/>
      <selection pane="bottomLeft"/>
      <selection pane="topRight"/>
    </sheetView>
  </sheetViews>
  <sheetFormatPr defaultColWidth="8.85546875" defaultRowHeight="18" customHeight="1" outlineLevelRow="1"/>
  <cols>
    <col min="1" max="1" width="4.28515625" style="2" customWidth="1"/>
    <col min="2" max="2" width="7.42578125" style="2" hidden="1" customWidth="1"/>
    <col min="3" max="3" width="4.140625" style="1" customWidth="1"/>
    <col min="4" max="4" width="45" style="3" customWidth="1"/>
    <col min="5" max="5" width="13.28515625" style="3" customWidth="1"/>
    <col min="6" max="7" width="15" style="3" customWidth="1"/>
    <col min="8" max="8" width="7.85546875" style="2" bestFit="1" customWidth="1"/>
    <col min="9" max="9" width="7.140625" style="2" customWidth="1"/>
    <col min="10" max="23" width="4.85546875" style="4" customWidth="1"/>
    <col min="24" max="36" width="4.85546875" style="2" customWidth="1"/>
    <col min="37" max="42" width="4.85546875" style="4" customWidth="1"/>
    <col min="43" max="48" width="4.85546875" style="2" customWidth="1"/>
    <col min="49" max="52" width="4.85546875" style="4" customWidth="1"/>
    <col min="53" max="58" width="4.85546875" style="2" customWidth="1"/>
    <col min="59" max="62" width="4.85546875" style="4" customWidth="1"/>
    <col min="63" max="68" width="4.85546875" style="2" customWidth="1"/>
    <col min="69" max="72" width="4.85546875" style="4" customWidth="1"/>
    <col min="73" max="78" width="4.85546875" style="2" customWidth="1"/>
    <col min="79" max="82" width="5.85546875" style="4" customWidth="1"/>
    <col min="83" max="269" width="5.85546875" style="2" customWidth="1"/>
    <col min="270" max="16384" width="8.85546875" style="2"/>
  </cols>
  <sheetData>
    <row r="1" spans="2:269" ht="24" customHeight="1">
      <c r="E1" s="17"/>
    </row>
    <row r="2" spans="2:269" ht="18" customHeight="1">
      <c r="C2" s="16"/>
      <c r="D2" s="16"/>
      <c r="J2" s="14">
        <v>1</v>
      </c>
      <c r="K2" s="14">
        <f t="shared" ref="K2:AP2" si="0">IF(K4=J4+1,J2,J2*-1)</f>
        <v>1</v>
      </c>
      <c r="L2" s="14">
        <f t="shared" si="0"/>
        <v>1</v>
      </c>
      <c r="M2" s="14">
        <f t="shared" si="0"/>
        <v>1</v>
      </c>
      <c r="N2" s="14">
        <f t="shared" si="0"/>
        <v>1</v>
      </c>
      <c r="O2" s="14">
        <f t="shared" si="0"/>
        <v>-1</v>
      </c>
      <c r="P2" s="14">
        <f t="shared" si="0"/>
        <v>-1</v>
      </c>
      <c r="Q2" s="14">
        <f t="shared" si="0"/>
        <v>-1</v>
      </c>
      <c r="R2" s="14">
        <f t="shared" si="0"/>
        <v>-1</v>
      </c>
      <c r="S2" s="14">
        <f t="shared" si="0"/>
        <v>-1</v>
      </c>
      <c r="T2" s="14">
        <f t="shared" si="0"/>
        <v>1</v>
      </c>
      <c r="U2" s="14">
        <f t="shared" si="0"/>
        <v>1</v>
      </c>
      <c r="V2" s="14">
        <f t="shared" si="0"/>
        <v>1</v>
      </c>
      <c r="W2" s="14">
        <f t="shared" si="0"/>
        <v>1</v>
      </c>
      <c r="X2" s="14">
        <f t="shared" si="0"/>
        <v>1</v>
      </c>
      <c r="Y2" s="14">
        <f t="shared" si="0"/>
        <v>-1</v>
      </c>
      <c r="Z2" s="14">
        <f t="shared" si="0"/>
        <v>-1</v>
      </c>
      <c r="AA2" s="14">
        <f t="shared" si="0"/>
        <v>-1</v>
      </c>
      <c r="AB2" s="14">
        <f t="shared" si="0"/>
        <v>-1</v>
      </c>
      <c r="AC2" s="14">
        <f t="shared" si="0"/>
        <v>-1</v>
      </c>
      <c r="AD2" s="14">
        <f t="shared" si="0"/>
        <v>1</v>
      </c>
      <c r="AE2" s="14">
        <f t="shared" si="0"/>
        <v>1</v>
      </c>
      <c r="AF2" s="14">
        <f t="shared" si="0"/>
        <v>1</v>
      </c>
      <c r="AG2" s="14">
        <f t="shared" si="0"/>
        <v>1</v>
      </c>
      <c r="AH2" s="14">
        <f t="shared" si="0"/>
        <v>1</v>
      </c>
      <c r="AI2" s="14">
        <f t="shared" si="0"/>
        <v>-1</v>
      </c>
      <c r="AJ2" s="14">
        <f t="shared" si="0"/>
        <v>-1</v>
      </c>
      <c r="AK2" s="14">
        <f t="shared" si="0"/>
        <v>-1</v>
      </c>
      <c r="AL2" s="14">
        <f t="shared" si="0"/>
        <v>-1</v>
      </c>
      <c r="AM2" s="14">
        <f t="shared" si="0"/>
        <v>-1</v>
      </c>
      <c r="AN2" s="14">
        <f t="shared" si="0"/>
        <v>1</v>
      </c>
      <c r="AO2" s="14">
        <f t="shared" si="0"/>
        <v>1</v>
      </c>
      <c r="AP2" s="14">
        <f t="shared" si="0"/>
        <v>1</v>
      </c>
      <c r="AQ2" s="14">
        <f t="shared" ref="AQ2:AZ2" si="1">IF(AQ4=AP4+1,AP2,AP2*-1)</f>
        <v>1</v>
      </c>
      <c r="AR2" s="14">
        <f t="shared" si="1"/>
        <v>1</v>
      </c>
      <c r="AS2" s="14">
        <f t="shared" si="1"/>
        <v>-1</v>
      </c>
      <c r="AT2" s="14">
        <f t="shared" si="1"/>
        <v>-1</v>
      </c>
      <c r="AU2" s="14">
        <f t="shared" si="1"/>
        <v>-1</v>
      </c>
      <c r="AV2" s="14">
        <f t="shared" si="1"/>
        <v>-1</v>
      </c>
      <c r="AW2" s="14">
        <f t="shared" si="1"/>
        <v>-1</v>
      </c>
      <c r="AX2" s="14">
        <f t="shared" si="1"/>
        <v>1</v>
      </c>
      <c r="AY2" s="14">
        <f t="shared" si="1"/>
        <v>1</v>
      </c>
      <c r="AZ2" s="14">
        <f t="shared" si="1"/>
        <v>1</v>
      </c>
      <c r="BA2" s="14">
        <f t="shared" ref="BA2:BP2" si="2">IF(BA4=AZ4+1,AZ2,AZ2*-1)</f>
        <v>1</v>
      </c>
      <c r="BB2" s="14">
        <f>IF(BB4=BA4+1,BA2,BA2*-1)</f>
        <v>1</v>
      </c>
      <c r="BC2" s="14">
        <f>IF(BC4=BB4+1,BB2,BB2*-1)</f>
        <v>-1</v>
      </c>
      <c r="BD2" s="14">
        <f t="shared" si="2"/>
        <v>-1</v>
      </c>
      <c r="BE2" s="14">
        <f t="shared" si="2"/>
        <v>-1</v>
      </c>
      <c r="BF2" s="14">
        <f t="shared" si="2"/>
        <v>-1</v>
      </c>
      <c r="BG2" s="14">
        <f t="shared" si="2"/>
        <v>-1</v>
      </c>
      <c r="BH2" s="14">
        <f t="shared" si="2"/>
        <v>1</v>
      </c>
      <c r="BI2" s="14">
        <f t="shared" si="2"/>
        <v>1</v>
      </c>
      <c r="BJ2" s="14">
        <f t="shared" si="2"/>
        <v>1</v>
      </c>
      <c r="BK2" s="14">
        <f t="shared" si="2"/>
        <v>1</v>
      </c>
      <c r="BL2" s="14">
        <f t="shared" si="2"/>
        <v>1</v>
      </c>
      <c r="BM2" s="14">
        <f t="shared" si="2"/>
        <v>-1</v>
      </c>
      <c r="BN2" s="14">
        <f t="shared" si="2"/>
        <v>-1</v>
      </c>
      <c r="BO2" s="14">
        <f t="shared" si="2"/>
        <v>-1</v>
      </c>
      <c r="BP2" s="14">
        <f t="shared" si="2"/>
        <v>-1</v>
      </c>
      <c r="BQ2" s="14">
        <f t="shared" ref="BQ2:BZ2" si="3">IF(BQ4=BP4+1,BP2,BP2*-1)</f>
        <v>-1</v>
      </c>
      <c r="BR2" s="14">
        <f t="shared" si="3"/>
        <v>1</v>
      </c>
      <c r="BS2" s="14">
        <f t="shared" si="3"/>
        <v>1</v>
      </c>
      <c r="BT2" s="14">
        <f t="shared" si="3"/>
        <v>1</v>
      </c>
      <c r="BU2" s="14">
        <f t="shared" si="3"/>
        <v>1</v>
      </c>
      <c r="BV2" s="14">
        <f t="shared" si="3"/>
        <v>1</v>
      </c>
      <c r="BW2" s="14">
        <f t="shared" si="3"/>
        <v>-1</v>
      </c>
      <c r="BX2" s="14">
        <f t="shared" si="3"/>
        <v>-1</v>
      </c>
      <c r="BY2" s="14">
        <f t="shared" si="3"/>
        <v>-1</v>
      </c>
      <c r="BZ2" s="14">
        <f t="shared" si="3"/>
        <v>-1</v>
      </c>
      <c r="CA2" s="14">
        <f t="shared" ref="CA2" si="4">IF(CA4=BZ4+1,BZ2,BZ2*-1)</f>
        <v>-1</v>
      </c>
      <c r="CB2" s="14">
        <f t="shared" ref="CB2" si="5">IF(CB4=CA4+1,CA2,CA2*-1)</f>
        <v>1</v>
      </c>
      <c r="CC2" s="14">
        <f t="shared" ref="CC2" si="6">IF(CC4=CB4+1,CB2,CB2*-1)</f>
        <v>1</v>
      </c>
      <c r="CD2" s="14">
        <f t="shared" ref="CD2" si="7">IF(CD4=CC4+1,CC2,CC2*-1)</f>
        <v>1</v>
      </c>
      <c r="CE2" s="14">
        <f t="shared" ref="CE2:CF2" si="8">IF(CE4=CD4+1,CD2,CD2*-1)</f>
        <v>1</v>
      </c>
      <c r="CF2" s="14">
        <f t="shared" si="8"/>
        <v>1</v>
      </c>
      <c r="CG2" s="14">
        <f t="shared" ref="CG2" si="9">IF(CG4=CF4+1,CF2,CF2*-1)</f>
        <v>-1</v>
      </c>
      <c r="CH2" s="14">
        <f t="shared" ref="CH2" si="10">IF(CH4=CG4+1,CG2,CG2*-1)</f>
        <v>-1</v>
      </c>
      <c r="CI2" s="14">
        <f t="shared" ref="CI2" si="11">IF(CI4=CH4+1,CH2,CH2*-1)</f>
        <v>-1</v>
      </c>
      <c r="CJ2" s="14">
        <f t="shared" ref="CJ2" si="12">IF(CJ4=CI4+1,CI2,CI2*-1)</f>
        <v>-1</v>
      </c>
      <c r="CK2" s="14">
        <f t="shared" ref="CK2" si="13">IF(CK4=CJ4+1,CJ2,CJ2*-1)</f>
        <v>-1</v>
      </c>
      <c r="CL2" s="14">
        <f t="shared" ref="CL2" si="14">IF(CL4=CK4+1,CK2,CK2*-1)</f>
        <v>1</v>
      </c>
      <c r="CM2" s="14">
        <f t="shared" ref="CM2" si="15">IF(CM4=CL4+1,CL2,CL2*-1)</f>
        <v>1</v>
      </c>
      <c r="CN2" s="14">
        <f t="shared" ref="CN2" si="16">IF(CN4=CM4+1,CM2,CM2*-1)</f>
        <v>1</v>
      </c>
      <c r="CO2" s="14">
        <f t="shared" ref="CO2" si="17">IF(CO4=CN4+1,CN2,CN2*-1)</f>
        <v>1</v>
      </c>
      <c r="CP2" s="14">
        <f t="shared" ref="CP2" si="18">IF(CP4=CO4+1,CO2,CO2*-1)</f>
        <v>1</v>
      </c>
      <c r="CQ2" s="14">
        <f t="shared" ref="CQ2" si="19">IF(CQ4=CP4+1,CP2,CP2*-1)</f>
        <v>-1</v>
      </c>
      <c r="CR2" s="14">
        <f t="shared" ref="CR2" si="20">IF(CR4=CQ4+1,CQ2,CQ2*-1)</f>
        <v>-1</v>
      </c>
      <c r="CS2" s="14">
        <f t="shared" ref="CS2" si="21">IF(CS4=CR4+1,CR2,CR2*-1)</f>
        <v>-1</v>
      </c>
      <c r="CT2" s="14">
        <f t="shared" ref="CT2" si="22">IF(CT4=CS4+1,CS2,CS2*-1)</f>
        <v>-1</v>
      </c>
      <c r="CU2" s="14">
        <f t="shared" ref="CU2" si="23">IF(CU4=CT4+1,CT2,CT2*-1)</f>
        <v>-1</v>
      </c>
      <c r="CV2" s="14">
        <f t="shared" ref="CV2" si="24">IF(CV4=CU4+1,CU2,CU2*-1)</f>
        <v>1</v>
      </c>
      <c r="CW2" s="14">
        <f t="shared" ref="CW2" si="25">IF(CW4=CV4+1,CV2,CV2*-1)</f>
        <v>1</v>
      </c>
      <c r="CX2" s="14">
        <f t="shared" ref="CX2" si="26">IF(CX4=CW4+1,CW2,CW2*-1)</f>
        <v>1</v>
      </c>
      <c r="CY2" s="14">
        <f t="shared" ref="CY2" si="27">IF(CY4=CX4+1,CX2,CX2*-1)</f>
        <v>1</v>
      </c>
      <c r="CZ2" s="14">
        <f t="shared" ref="CZ2" si="28">IF(CZ4=CY4+1,CY2,CY2*-1)</f>
        <v>1</v>
      </c>
      <c r="DA2" s="14">
        <f t="shared" ref="DA2" si="29">IF(DA4=CZ4+1,CZ2,CZ2*-1)</f>
        <v>-1</v>
      </c>
      <c r="DB2" s="14">
        <f t="shared" ref="DB2" si="30">IF(DB4=DA4+1,DA2,DA2*-1)</f>
        <v>-1</v>
      </c>
      <c r="DC2" s="14">
        <f t="shared" ref="DC2" si="31">IF(DC4=DB4+1,DB2,DB2*-1)</f>
        <v>-1</v>
      </c>
      <c r="DD2" s="14">
        <f t="shared" ref="DD2" si="32">IF(DD4=DC4+1,DC2,DC2*-1)</f>
        <v>-1</v>
      </c>
      <c r="DE2" s="14">
        <f t="shared" ref="DE2" si="33">IF(DE4=DD4+1,DD2,DD2*-1)</f>
        <v>-1</v>
      </c>
      <c r="DF2" s="14">
        <f t="shared" ref="DF2" si="34">IF(DF4=DE4+1,DE2,DE2*-1)</f>
        <v>1</v>
      </c>
      <c r="DG2" s="14">
        <f t="shared" ref="DG2" si="35">IF(DG4=DF4+1,DF2,DF2*-1)</f>
        <v>1</v>
      </c>
      <c r="DH2" s="14">
        <f t="shared" ref="DH2" si="36">IF(DH4=DG4+1,DG2,DG2*-1)</f>
        <v>1</v>
      </c>
      <c r="DI2" s="14">
        <f t="shared" ref="DI2" si="37">IF(DI4=DH4+1,DH2,DH2*-1)</f>
        <v>1</v>
      </c>
      <c r="DJ2" s="14">
        <f t="shared" ref="DJ2" si="38">IF(DJ4=DI4+1,DI2,DI2*-1)</f>
        <v>1</v>
      </c>
      <c r="DK2" s="14">
        <f t="shared" ref="DK2" si="39">IF(DK4=DJ4+1,DJ2,DJ2*-1)</f>
        <v>-1</v>
      </c>
      <c r="DL2" s="14">
        <f t="shared" ref="DL2" si="40">IF(DL4=DK4+1,DK2,DK2*-1)</f>
        <v>-1</v>
      </c>
      <c r="DM2" s="14">
        <f t="shared" ref="DM2" si="41">IF(DM4=DL4+1,DL2,DL2*-1)</f>
        <v>-1</v>
      </c>
      <c r="DN2" s="14">
        <f t="shared" ref="DN2" si="42">IF(DN4=DM4+1,DM2,DM2*-1)</f>
        <v>-1</v>
      </c>
      <c r="DO2" s="14">
        <f t="shared" ref="DO2" si="43">IF(DO4=DN4+1,DN2,DN2*-1)</f>
        <v>-1</v>
      </c>
      <c r="DP2" s="14">
        <f t="shared" ref="DP2" si="44">IF(DP4=DO4+1,DO2,DO2*-1)</f>
        <v>1</v>
      </c>
      <c r="DQ2" s="14">
        <f t="shared" ref="DQ2" si="45">IF(DQ4=DP4+1,DP2,DP2*-1)</f>
        <v>1</v>
      </c>
      <c r="DR2" s="14">
        <f t="shared" ref="DR2" si="46">IF(DR4=DQ4+1,DQ2,DQ2*-1)</f>
        <v>1</v>
      </c>
      <c r="DS2" s="14">
        <f t="shared" ref="DS2" si="47">IF(DS4=DR4+1,DR2,DR2*-1)</f>
        <v>1</v>
      </c>
      <c r="DT2" s="14">
        <f t="shared" ref="DT2" si="48">IF(DT4=DS4+1,DS2,DS2*-1)</f>
        <v>1</v>
      </c>
      <c r="DU2" s="14">
        <f t="shared" ref="DU2" si="49">IF(DU4=DT4+1,DT2,DT2*-1)</f>
        <v>-1</v>
      </c>
      <c r="DV2" s="14">
        <f t="shared" ref="DV2" si="50">IF(DV4=DU4+1,DU2,DU2*-1)</f>
        <v>-1</v>
      </c>
      <c r="DW2" s="14">
        <f t="shared" ref="DW2" si="51">IF(DW4=DV4+1,DV2,DV2*-1)</f>
        <v>-1</v>
      </c>
      <c r="DX2" s="14">
        <f t="shared" ref="DX2" si="52">IF(DX4=DW4+1,DW2,DW2*-1)</f>
        <v>-1</v>
      </c>
      <c r="DY2" s="14">
        <f t="shared" ref="DY2" si="53">IF(DY4=DX4+1,DX2,DX2*-1)</f>
        <v>-1</v>
      </c>
      <c r="DZ2" s="14">
        <f t="shared" ref="DZ2" si="54">IF(DZ4=DY4+1,DY2,DY2*-1)</f>
        <v>1</v>
      </c>
      <c r="EA2" s="14">
        <f t="shared" ref="EA2" si="55">IF(EA4=DZ4+1,DZ2,DZ2*-1)</f>
        <v>1</v>
      </c>
      <c r="EB2" s="14">
        <f t="shared" ref="EB2" si="56">IF(EB4=EA4+1,EA2,EA2*-1)</f>
        <v>1</v>
      </c>
      <c r="EC2" s="14">
        <f t="shared" ref="EC2" si="57">IF(EC4=EB4+1,EB2,EB2*-1)</f>
        <v>1</v>
      </c>
      <c r="ED2" s="14">
        <f t="shared" ref="ED2" si="58">IF(ED4=EC4+1,EC2,EC2*-1)</f>
        <v>1</v>
      </c>
      <c r="EE2" s="14">
        <f t="shared" ref="EE2" si="59">IF(EE4=ED4+1,ED2,ED2*-1)</f>
        <v>-1</v>
      </c>
      <c r="EF2" s="14">
        <f t="shared" ref="EF2" si="60">IF(EF4=EE4+1,EE2,EE2*-1)</f>
        <v>-1</v>
      </c>
      <c r="EG2" s="14">
        <f t="shared" ref="EG2" si="61">IF(EG4=EF4+1,EF2,EF2*-1)</f>
        <v>-1</v>
      </c>
      <c r="EH2" s="14">
        <f t="shared" ref="EH2" si="62">IF(EH4=EG4+1,EG2,EG2*-1)</f>
        <v>-1</v>
      </c>
      <c r="EI2" s="14">
        <f t="shared" ref="EI2" si="63">IF(EI4=EH4+1,EH2,EH2*-1)</f>
        <v>-1</v>
      </c>
      <c r="EJ2" s="14">
        <f t="shared" ref="EJ2" si="64">IF(EJ4=EI4+1,EI2,EI2*-1)</f>
        <v>1</v>
      </c>
      <c r="EK2" s="14">
        <f t="shared" ref="EK2" si="65">IF(EK4=EJ4+1,EJ2,EJ2*-1)</f>
        <v>1</v>
      </c>
      <c r="EL2" s="14">
        <f t="shared" ref="EL2" si="66">IF(EL4=EK4+1,EK2,EK2*-1)</f>
        <v>1</v>
      </c>
      <c r="EM2" s="14">
        <f t="shared" ref="EM2" si="67">IF(EM4=EL4+1,EL2,EL2*-1)</f>
        <v>1</v>
      </c>
      <c r="EN2" s="14">
        <f t="shared" ref="EN2" si="68">IF(EN4=EM4+1,EM2,EM2*-1)</f>
        <v>1</v>
      </c>
      <c r="EO2" s="14">
        <f t="shared" ref="EO2" si="69">IF(EO4=EN4+1,EN2,EN2*-1)</f>
        <v>-1</v>
      </c>
      <c r="EP2" s="14">
        <f t="shared" ref="EP2" si="70">IF(EP4=EO4+1,EO2,EO2*-1)</f>
        <v>-1</v>
      </c>
      <c r="EQ2" s="14">
        <f t="shared" ref="EQ2" si="71">IF(EQ4=EP4+1,EP2,EP2*-1)</f>
        <v>-1</v>
      </c>
      <c r="ER2" s="14">
        <f t="shared" ref="ER2" si="72">IF(ER4=EQ4+1,EQ2,EQ2*-1)</f>
        <v>-1</v>
      </c>
      <c r="ES2" s="14">
        <f t="shared" ref="ES2" si="73">IF(ES4=ER4+1,ER2,ER2*-1)</f>
        <v>-1</v>
      </c>
      <c r="ET2" s="14">
        <f t="shared" ref="ET2" si="74">IF(ET4=ES4+1,ES2,ES2*-1)</f>
        <v>1</v>
      </c>
      <c r="EU2" s="14">
        <f t="shared" ref="EU2" si="75">IF(EU4=ET4+1,ET2,ET2*-1)</f>
        <v>1</v>
      </c>
      <c r="EV2" s="14">
        <f t="shared" ref="EV2" si="76">IF(EV4=EU4+1,EU2,EU2*-1)</f>
        <v>1</v>
      </c>
      <c r="EW2" s="14">
        <f t="shared" ref="EW2" si="77">IF(EW4=EV4+1,EV2,EV2*-1)</f>
        <v>1</v>
      </c>
      <c r="EX2" s="14">
        <f t="shared" ref="EX2" si="78">IF(EX4=EW4+1,EW2,EW2*-1)</f>
        <v>1</v>
      </c>
      <c r="EY2" s="14">
        <f t="shared" ref="EY2" si="79">IF(EY4=EX4+1,EX2,EX2*-1)</f>
        <v>-1</v>
      </c>
      <c r="EZ2" s="14">
        <f t="shared" ref="EZ2" si="80">IF(EZ4=EY4+1,EY2,EY2*-1)</f>
        <v>-1</v>
      </c>
      <c r="FA2" s="14">
        <f t="shared" ref="FA2" si="81">IF(FA4=EZ4+1,EZ2,EZ2*-1)</f>
        <v>-1</v>
      </c>
      <c r="FB2" s="14">
        <f t="shared" ref="FB2" si="82">IF(FB4=FA4+1,FA2,FA2*-1)</f>
        <v>-1</v>
      </c>
      <c r="FC2" s="14">
        <f t="shared" ref="FC2" si="83">IF(FC4=FB4+1,FB2,FB2*-1)</f>
        <v>-1</v>
      </c>
      <c r="FD2" s="14">
        <f t="shared" ref="FD2" si="84">IF(FD4=FC4+1,FC2,FC2*-1)</f>
        <v>1</v>
      </c>
      <c r="FE2" s="14">
        <f t="shared" ref="FE2" si="85">IF(FE4=FD4+1,FD2,FD2*-1)</f>
        <v>1</v>
      </c>
      <c r="FF2" s="14">
        <f t="shared" ref="FF2" si="86">IF(FF4=FE4+1,FE2,FE2*-1)</f>
        <v>1</v>
      </c>
      <c r="FG2" s="14">
        <f t="shared" ref="FG2" si="87">IF(FG4=FF4+1,FF2,FF2*-1)</f>
        <v>1</v>
      </c>
      <c r="FH2" s="14">
        <f t="shared" ref="FH2" si="88">IF(FH4=FG4+1,FG2,FG2*-1)</f>
        <v>1</v>
      </c>
      <c r="FI2" s="14">
        <f t="shared" ref="FI2" si="89">IF(FI4=FH4+1,FH2,FH2*-1)</f>
        <v>-1</v>
      </c>
      <c r="FJ2" s="14">
        <f t="shared" ref="FJ2" si="90">IF(FJ4=FI4+1,FI2,FI2*-1)</f>
        <v>-1</v>
      </c>
      <c r="FK2" s="14">
        <f t="shared" ref="FK2" si="91">IF(FK4=FJ4+1,FJ2,FJ2*-1)</f>
        <v>-1</v>
      </c>
      <c r="FL2" s="14">
        <f t="shared" ref="FL2" si="92">IF(FL4=FK4+1,FK2,FK2*-1)</f>
        <v>-1</v>
      </c>
      <c r="FM2" s="14">
        <f t="shared" ref="FM2" si="93">IF(FM4=FL4+1,FL2,FL2*-1)</f>
        <v>-1</v>
      </c>
      <c r="FN2" s="14">
        <f t="shared" ref="FN2" si="94">IF(FN4=FM4+1,FM2,FM2*-1)</f>
        <v>1</v>
      </c>
      <c r="FO2" s="14">
        <f t="shared" ref="FO2" si="95">IF(FO4=FN4+1,FN2,FN2*-1)</f>
        <v>1</v>
      </c>
      <c r="FP2" s="14">
        <f t="shared" ref="FP2" si="96">IF(FP4=FO4+1,FO2,FO2*-1)</f>
        <v>1</v>
      </c>
      <c r="FQ2" s="14">
        <f t="shared" ref="FQ2" si="97">IF(FQ4=FP4+1,FP2,FP2*-1)</f>
        <v>1</v>
      </c>
      <c r="FR2" s="14">
        <f t="shared" ref="FR2" si="98">IF(FR4=FQ4+1,FQ2,FQ2*-1)</f>
        <v>1</v>
      </c>
      <c r="FS2" s="14">
        <f t="shared" ref="FS2" si="99">IF(FS4=FR4+1,FR2,FR2*-1)</f>
        <v>-1</v>
      </c>
      <c r="FT2" s="14">
        <f t="shared" ref="FT2" si="100">IF(FT4=FS4+1,FS2,FS2*-1)</f>
        <v>-1</v>
      </c>
      <c r="FU2" s="14">
        <f t="shared" ref="FU2" si="101">IF(FU4=FT4+1,FT2,FT2*-1)</f>
        <v>-1</v>
      </c>
      <c r="FV2" s="14">
        <f t="shared" ref="FV2" si="102">IF(FV4=FU4+1,FU2,FU2*-1)</f>
        <v>-1</v>
      </c>
      <c r="FW2" s="14">
        <f t="shared" ref="FW2" si="103">IF(FW4=FV4+1,FV2,FV2*-1)</f>
        <v>-1</v>
      </c>
      <c r="FX2" s="14">
        <f t="shared" ref="FX2" si="104">IF(FX4=FW4+1,FW2,FW2*-1)</f>
        <v>1</v>
      </c>
      <c r="FY2" s="14">
        <f t="shared" ref="FY2" si="105">IF(FY4=FX4+1,FX2,FX2*-1)</f>
        <v>1</v>
      </c>
      <c r="FZ2" s="14">
        <f t="shared" ref="FZ2" si="106">IF(FZ4=FY4+1,FY2,FY2*-1)</f>
        <v>1</v>
      </c>
      <c r="GA2" s="14">
        <f t="shared" ref="GA2" si="107">IF(GA4=FZ4+1,FZ2,FZ2*-1)</f>
        <v>1</v>
      </c>
      <c r="GB2" s="14">
        <f t="shared" ref="GB2" si="108">IF(GB4=GA4+1,GA2,GA2*-1)</f>
        <v>1</v>
      </c>
      <c r="GC2" s="14">
        <f t="shared" ref="GC2" si="109">IF(GC4=GB4+1,GB2,GB2*-1)</f>
        <v>-1</v>
      </c>
      <c r="GD2" s="14">
        <f t="shared" ref="GD2" si="110">IF(GD4=GC4+1,GC2,GC2*-1)</f>
        <v>-1</v>
      </c>
      <c r="GE2" s="14">
        <f t="shared" ref="GE2" si="111">IF(GE4=GD4+1,GD2,GD2*-1)</f>
        <v>-1</v>
      </c>
      <c r="GF2" s="14">
        <f t="shared" ref="GF2" si="112">IF(GF4=GE4+1,GE2,GE2*-1)</f>
        <v>-1</v>
      </c>
      <c r="GG2" s="14">
        <f t="shared" ref="GG2" si="113">IF(GG4=GF4+1,GF2,GF2*-1)</f>
        <v>-1</v>
      </c>
      <c r="GH2" s="14">
        <f t="shared" ref="GH2" si="114">IF(GH4=GG4+1,GG2,GG2*-1)</f>
        <v>1</v>
      </c>
      <c r="GI2" s="14">
        <f t="shared" ref="GI2" si="115">IF(GI4=GH4+1,GH2,GH2*-1)</f>
        <v>1</v>
      </c>
      <c r="GJ2" s="14">
        <f t="shared" ref="GJ2" si="116">IF(GJ4=GI4+1,GI2,GI2*-1)</f>
        <v>1</v>
      </c>
      <c r="GK2" s="14">
        <f t="shared" ref="GK2" si="117">IF(GK4=GJ4+1,GJ2,GJ2*-1)</f>
        <v>1</v>
      </c>
      <c r="GL2" s="14">
        <f t="shared" ref="GL2" si="118">IF(GL4=GK4+1,GK2,GK2*-1)</f>
        <v>1</v>
      </c>
      <c r="GM2" s="14">
        <f t="shared" ref="GM2" si="119">IF(GM4=GL4+1,GL2,GL2*-1)</f>
        <v>-1</v>
      </c>
      <c r="GN2" s="14">
        <f t="shared" ref="GN2" si="120">IF(GN4=GM4+1,GM2,GM2*-1)</f>
        <v>-1</v>
      </c>
      <c r="GO2" s="14">
        <f t="shared" ref="GO2" si="121">IF(GO4=GN4+1,GN2,GN2*-1)</f>
        <v>-1</v>
      </c>
      <c r="GP2" s="14">
        <f t="shared" ref="GP2" si="122">IF(GP4=GO4+1,GO2,GO2*-1)</f>
        <v>-1</v>
      </c>
      <c r="GQ2" s="14">
        <f t="shared" ref="GQ2" si="123">IF(GQ4=GP4+1,GP2,GP2*-1)</f>
        <v>-1</v>
      </c>
      <c r="GR2" s="14">
        <f t="shared" ref="GR2" si="124">IF(GR4=GQ4+1,GQ2,GQ2*-1)</f>
        <v>1</v>
      </c>
      <c r="GS2" s="14">
        <f t="shared" ref="GS2" si="125">IF(GS4=GR4+1,GR2,GR2*-1)</f>
        <v>1</v>
      </c>
      <c r="GT2" s="14">
        <f t="shared" ref="GT2" si="126">IF(GT4=GS4+1,GS2,GS2*-1)</f>
        <v>1</v>
      </c>
      <c r="GU2" s="14">
        <f t="shared" ref="GU2" si="127">IF(GU4=GT4+1,GT2,GT2*-1)</f>
        <v>1</v>
      </c>
      <c r="GV2" s="14">
        <f t="shared" ref="GV2" si="128">IF(GV4=GU4+1,GU2,GU2*-1)</f>
        <v>1</v>
      </c>
      <c r="GW2" s="14">
        <f t="shared" ref="GW2" si="129">IF(GW4=GV4+1,GV2,GV2*-1)</f>
        <v>-1</v>
      </c>
      <c r="GX2" s="14">
        <f t="shared" ref="GX2" si="130">IF(GX4=GW4+1,GW2,GW2*-1)</f>
        <v>-1</v>
      </c>
      <c r="GY2" s="14">
        <f t="shared" ref="GY2" si="131">IF(GY4=GX4+1,GX2,GX2*-1)</f>
        <v>-1</v>
      </c>
      <c r="GZ2" s="14">
        <f t="shared" ref="GZ2" si="132">IF(GZ4=GY4+1,GY2,GY2*-1)</f>
        <v>-1</v>
      </c>
      <c r="HA2" s="14">
        <f t="shared" ref="HA2" si="133">IF(HA4=GZ4+1,GZ2,GZ2*-1)</f>
        <v>-1</v>
      </c>
      <c r="HB2" s="14">
        <f t="shared" ref="HB2" si="134">IF(HB4=HA4+1,HA2,HA2*-1)</f>
        <v>1</v>
      </c>
      <c r="HC2" s="14">
        <f t="shared" ref="HC2" si="135">IF(HC4=HB4+1,HB2,HB2*-1)</f>
        <v>1</v>
      </c>
      <c r="HD2" s="14">
        <f t="shared" ref="HD2" si="136">IF(HD4=HC4+1,HC2,HC2*-1)</f>
        <v>1</v>
      </c>
      <c r="HE2" s="14">
        <f t="shared" ref="HE2" si="137">IF(HE4=HD4+1,HD2,HD2*-1)</f>
        <v>1</v>
      </c>
      <c r="HF2" s="14">
        <f t="shared" ref="HF2" si="138">IF(HF4=HE4+1,HE2,HE2*-1)</f>
        <v>1</v>
      </c>
      <c r="HG2" s="14">
        <f t="shared" ref="HG2" si="139">IF(HG4=HF4+1,HF2,HF2*-1)</f>
        <v>-1</v>
      </c>
      <c r="HH2" s="14">
        <f t="shared" ref="HH2" si="140">IF(HH4=HG4+1,HG2,HG2*-1)</f>
        <v>-1</v>
      </c>
      <c r="HI2" s="14">
        <f t="shared" ref="HI2" si="141">IF(HI4=HH4+1,HH2,HH2*-1)</f>
        <v>-1</v>
      </c>
      <c r="HJ2" s="14">
        <f t="shared" ref="HJ2" si="142">IF(HJ4=HI4+1,HI2,HI2*-1)</f>
        <v>-1</v>
      </c>
      <c r="HK2" s="14">
        <f t="shared" ref="HK2" si="143">IF(HK4=HJ4+1,HJ2,HJ2*-1)</f>
        <v>-1</v>
      </c>
      <c r="HL2" s="14">
        <f t="shared" ref="HL2" si="144">IF(HL4=HK4+1,HK2,HK2*-1)</f>
        <v>1</v>
      </c>
      <c r="HM2" s="14">
        <f t="shared" ref="HM2" si="145">IF(HM4=HL4+1,HL2,HL2*-1)</f>
        <v>1</v>
      </c>
      <c r="HN2" s="14">
        <f t="shared" ref="HN2" si="146">IF(HN4=HM4+1,HM2,HM2*-1)</f>
        <v>1</v>
      </c>
      <c r="HO2" s="14">
        <f t="shared" ref="HO2" si="147">IF(HO4=HN4+1,HN2,HN2*-1)</f>
        <v>1</v>
      </c>
      <c r="HP2" s="14">
        <f t="shared" ref="HP2" si="148">IF(HP4=HO4+1,HO2,HO2*-1)</f>
        <v>1</v>
      </c>
      <c r="HQ2" s="14">
        <f t="shared" ref="HQ2" si="149">IF(HQ4=HP4+1,HP2,HP2*-1)</f>
        <v>-1</v>
      </c>
      <c r="HR2" s="14">
        <f t="shared" ref="HR2" si="150">IF(HR4=HQ4+1,HQ2,HQ2*-1)</f>
        <v>-1</v>
      </c>
      <c r="HS2" s="14">
        <f t="shared" ref="HS2" si="151">IF(HS4=HR4+1,HR2,HR2*-1)</f>
        <v>-1</v>
      </c>
      <c r="HT2" s="14">
        <f t="shared" ref="HT2" si="152">IF(HT4=HS4+1,HS2,HS2*-1)</f>
        <v>-1</v>
      </c>
      <c r="HU2" s="14">
        <f t="shared" ref="HU2" si="153">IF(HU4=HT4+1,HT2,HT2*-1)</f>
        <v>-1</v>
      </c>
      <c r="HV2" s="14">
        <f t="shared" ref="HV2" si="154">IF(HV4=HU4+1,HU2,HU2*-1)</f>
        <v>1</v>
      </c>
      <c r="HW2" s="14">
        <f t="shared" ref="HW2" si="155">IF(HW4=HV4+1,HV2,HV2*-1)</f>
        <v>1</v>
      </c>
      <c r="HX2" s="14">
        <f t="shared" ref="HX2" si="156">IF(HX4=HW4+1,HW2,HW2*-1)</f>
        <v>1</v>
      </c>
      <c r="HY2" s="14">
        <f t="shared" ref="HY2" si="157">IF(HY4=HX4+1,HX2,HX2*-1)</f>
        <v>1</v>
      </c>
      <c r="HZ2" s="14">
        <f t="shared" ref="HZ2" si="158">IF(HZ4=HY4+1,HY2,HY2*-1)</f>
        <v>1</v>
      </c>
      <c r="IA2" s="14">
        <f t="shared" ref="IA2" si="159">IF(IA4=HZ4+1,HZ2,HZ2*-1)</f>
        <v>-1</v>
      </c>
      <c r="IB2" s="14">
        <f t="shared" ref="IB2" si="160">IF(IB4=IA4+1,IA2,IA2*-1)</f>
        <v>-1</v>
      </c>
      <c r="IC2" s="14">
        <f t="shared" ref="IC2" si="161">IF(IC4=IB4+1,IB2,IB2*-1)</f>
        <v>-1</v>
      </c>
      <c r="ID2" s="14">
        <f t="shared" ref="ID2" si="162">IF(ID4=IC4+1,IC2,IC2*-1)</f>
        <v>-1</v>
      </c>
      <c r="IE2" s="14">
        <f t="shared" ref="IE2" si="163">IF(IE4=ID4+1,ID2,ID2*-1)</f>
        <v>-1</v>
      </c>
      <c r="IF2" s="14">
        <f t="shared" ref="IF2" si="164">IF(IF4=IE4+1,IE2,IE2*-1)</f>
        <v>1</v>
      </c>
      <c r="IG2" s="14">
        <f t="shared" ref="IG2" si="165">IF(IG4=IF4+1,IF2,IF2*-1)</f>
        <v>1</v>
      </c>
      <c r="IH2" s="14">
        <f t="shared" ref="IH2" si="166">IF(IH4=IG4+1,IG2,IG2*-1)</f>
        <v>1</v>
      </c>
      <c r="II2" s="14">
        <f t="shared" ref="II2" si="167">IF(II4=IH4+1,IH2,IH2*-1)</f>
        <v>1</v>
      </c>
      <c r="IJ2" s="14">
        <f t="shared" ref="IJ2" si="168">IF(IJ4=II4+1,II2,II2*-1)</f>
        <v>1</v>
      </c>
      <c r="IK2" s="14">
        <f t="shared" ref="IK2" si="169">IF(IK4=IJ4+1,IJ2,IJ2*-1)</f>
        <v>-1</v>
      </c>
      <c r="IL2" s="14">
        <f t="shared" ref="IL2" si="170">IF(IL4=IK4+1,IK2,IK2*-1)</f>
        <v>-1</v>
      </c>
      <c r="IM2" s="14">
        <f t="shared" ref="IM2" si="171">IF(IM4=IL4+1,IL2,IL2*-1)</f>
        <v>-1</v>
      </c>
      <c r="IN2" s="14">
        <f t="shared" ref="IN2" si="172">IF(IN4=IM4+1,IM2,IM2*-1)</f>
        <v>-1</v>
      </c>
      <c r="IO2" s="14">
        <f t="shared" ref="IO2" si="173">IF(IO4=IN4+1,IN2,IN2*-1)</f>
        <v>-1</v>
      </c>
      <c r="IP2" s="14">
        <f t="shared" ref="IP2" si="174">IF(IP4=IO4+1,IO2,IO2*-1)</f>
        <v>1</v>
      </c>
      <c r="IQ2" s="14">
        <f t="shared" ref="IQ2" si="175">IF(IQ4=IP4+1,IP2,IP2*-1)</f>
        <v>1</v>
      </c>
      <c r="IR2" s="14">
        <f t="shared" ref="IR2" si="176">IF(IR4=IQ4+1,IQ2,IQ2*-1)</f>
        <v>1</v>
      </c>
      <c r="IS2" s="14">
        <f t="shared" ref="IS2" si="177">IF(IS4=IR4+1,IR2,IR2*-1)</f>
        <v>1</v>
      </c>
      <c r="IT2" s="14">
        <f t="shared" ref="IT2" si="178">IF(IT4=IS4+1,IS2,IS2*-1)</f>
        <v>1</v>
      </c>
      <c r="IU2" s="14">
        <f t="shared" ref="IU2" si="179">IF(IU4=IT4+1,IT2,IT2*-1)</f>
        <v>-1</v>
      </c>
      <c r="IV2" s="14">
        <f t="shared" ref="IV2" si="180">IF(IV4=IU4+1,IU2,IU2*-1)</f>
        <v>-1</v>
      </c>
      <c r="IW2" s="14">
        <f t="shared" ref="IW2" si="181">IF(IW4=IV4+1,IV2,IV2*-1)</f>
        <v>-1</v>
      </c>
      <c r="IX2" s="14">
        <f t="shared" ref="IX2" si="182">IF(IX4=IW4+1,IW2,IW2*-1)</f>
        <v>-1</v>
      </c>
      <c r="IY2" s="14">
        <f t="shared" ref="IY2" si="183">IF(IY4=IX4+1,IX2,IX2*-1)</f>
        <v>-1</v>
      </c>
      <c r="IZ2" s="14">
        <f t="shared" ref="IZ2" si="184">IF(IZ4=IY4+1,IY2,IY2*-1)</f>
        <v>1</v>
      </c>
      <c r="JA2" s="14">
        <f t="shared" ref="JA2" si="185">IF(JA4=IZ4+1,IZ2,IZ2*-1)</f>
        <v>1</v>
      </c>
      <c r="JB2" s="14">
        <f t="shared" ref="JB2" si="186">IF(JB4=JA4+1,JA2,JA2*-1)</f>
        <v>1</v>
      </c>
      <c r="JC2" s="14">
        <f t="shared" ref="JC2" si="187">IF(JC4=JB4+1,JB2,JB2*-1)</f>
        <v>1</v>
      </c>
      <c r="JD2" s="14">
        <f t="shared" ref="JD2" si="188">IF(JD4=JC4+1,JC2,JC2*-1)</f>
        <v>1</v>
      </c>
      <c r="JE2" s="14">
        <f t="shared" ref="JE2" si="189">IF(JE4=JD4+1,JD2,JD2*-1)</f>
        <v>-1</v>
      </c>
      <c r="JF2" s="14">
        <f t="shared" ref="JF2" si="190">IF(JF4=JE4+1,JE2,JE2*-1)</f>
        <v>-1</v>
      </c>
      <c r="JG2" s="14">
        <f t="shared" ref="JG2" si="191">IF(JG4=JF4+1,JF2,JF2*-1)</f>
        <v>-1</v>
      </c>
      <c r="JH2" s="14">
        <f t="shared" ref="JH2" si="192">IF(JH4=JG4+1,JG2,JG2*-1)</f>
        <v>-1</v>
      </c>
      <c r="JI2" s="14">
        <f t="shared" ref="JI2" si="193">IF(JI4=JH4+1,JH2,JH2*-1)</f>
        <v>-1</v>
      </c>
    </row>
    <row r="3" spans="2:269" s="1" customFormat="1" ht="18" customHeight="1">
      <c r="B3" s="13"/>
      <c r="C3" s="16"/>
      <c r="D3" s="32" t="s">
        <v>0</v>
      </c>
      <c r="E3" s="34" t="s">
        <v>1</v>
      </c>
      <c r="F3" s="35"/>
      <c r="G3" s="36"/>
      <c r="H3" s="15">
        <v>44564</v>
      </c>
      <c r="I3" s="7" t="s">
        <v>2</v>
      </c>
      <c r="J3" s="18">
        <v>1</v>
      </c>
      <c r="K3" s="19">
        <f>IF(K4=J4+1,J3,J3+1)</f>
        <v>1</v>
      </c>
      <c r="L3" s="19">
        <f t="shared" ref="L3:AV3" si="194">IF(L4=K4+1,K3,K3+1)</f>
        <v>1</v>
      </c>
      <c r="M3" s="19">
        <f t="shared" si="194"/>
        <v>1</v>
      </c>
      <c r="N3" s="19">
        <f t="shared" si="194"/>
        <v>1</v>
      </c>
      <c r="O3" s="19">
        <f t="shared" si="194"/>
        <v>2</v>
      </c>
      <c r="P3" s="19">
        <f t="shared" si="194"/>
        <v>2</v>
      </c>
      <c r="Q3" s="19">
        <f t="shared" si="194"/>
        <v>2</v>
      </c>
      <c r="R3" s="19">
        <f t="shared" si="194"/>
        <v>2</v>
      </c>
      <c r="S3" s="19">
        <f t="shared" si="194"/>
        <v>2</v>
      </c>
      <c r="T3" s="19">
        <f t="shared" si="194"/>
        <v>3</v>
      </c>
      <c r="U3" s="19">
        <f t="shared" si="194"/>
        <v>3</v>
      </c>
      <c r="V3" s="19">
        <f t="shared" si="194"/>
        <v>3</v>
      </c>
      <c r="W3" s="19">
        <f t="shared" si="194"/>
        <v>3</v>
      </c>
      <c r="X3" s="19">
        <f t="shared" si="194"/>
        <v>3</v>
      </c>
      <c r="Y3" s="19">
        <f t="shared" si="194"/>
        <v>4</v>
      </c>
      <c r="Z3" s="19">
        <f t="shared" si="194"/>
        <v>4</v>
      </c>
      <c r="AA3" s="19">
        <f t="shared" si="194"/>
        <v>4</v>
      </c>
      <c r="AB3" s="19">
        <f t="shared" si="194"/>
        <v>4</v>
      </c>
      <c r="AC3" s="19">
        <f t="shared" si="194"/>
        <v>4</v>
      </c>
      <c r="AD3" s="19">
        <f t="shared" si="194"/>
        <v>5</v>
      </c>
      <c r="AE3" s="19">
        <f t="shared" si="194"/>
        <v>5</v>
      </c>
      <c r="AF3" s="19">
        <f t="shared" si="194"/>
        <v>5</v>
      </c>
      <c r="AG3" s="19">
        <f t="shared" si="194"/>
        <v>5</v>
      </c>
      <c r="AH3" s="19">
        <f t="shared" si="194"/>
        <v>5</v>
      </c>
      <c r="AI3" s="19">
        <f t="shared" si="194"/>
        <v>6</v>
      </c>
      <c r="AJ3" s="19">
        <f t="shared" si="194"/>
        <v>6</v>
      </c>
      <c r="AK3" s="19">
        <f t="shared" si="194"/>
        <v>6</v>
      </c>
      <c r="AL3" s="19">
        <f t="shared" si="194"/>
        <v>6</v>
      </c>
      <c r="AM3" s="19">
        <f t="shared" si="194"/>
        <v>6</v>
      </c>
      <c r="AN3" s="19">
        <f t="shared" si="194"/>
        <v>7</v>
      </c>
      <c r="AO3" s="19">
        <f t="shared" si="194"/>
        <v>7</v>
      </c>
      <c r="AP3" s="19">
        <f t="shared" si="194"/>
        <v>7</v>
      </c>
      <c r="AQ3" s="19">
        <f t="shared" si="194"/>
        <v>7</v>
      </c>
      <c r="AR3" s="19">
        <f t="shared" si="194"/>
        <v>7</v>
      </c>
      <c r="AS3" s="19">
        <f t="shared" si="194"/>
        <v>8</v>
      </c>
      <c r="AT3" s="19">
        <f t="shared" si="194"/>
        <v>8</v>
      </c>
      <c r="AU3" s="19">
        <f t="shared" si="194"/>
        <v>8</v>
      </c>
      <c r="AV3" s="19">
        <f t="shared" si="194"/>
        <v>8</v>
      </c>
      <c r="AW3" s="19">
        <f t="shared" ref="AW3" si="195">IF(AW4=AV4+1,AV3,AV3+1)</f>
        <v>8</v>
      </c>
      <c r="AX3" s="19">
        <f t="shared" ref="AX3" si="196">IF(AX4=AW4+1,AW3,AW3+1)</f>
        <v>9</v>
      </c>
      <c r="AY3" s="19">
        <f t="shared" ref="AY3" si="197">IF(AY4=AX4+1,AX3,AX3+1)</f>
        <v>9</v>
      </c>
      <c r="AZ3" s="19">
        <f t="shared" ref="AZ3" si="198">IF(AZ4=AY4+1,AY3,AY3+1)</f>
        <v>9</v>
      </c>
      <c r="BA3" s="23">
        <f t="shared" ref="BA3" si="199">IF(BA4=AZ4+1,AZ3,AZ3+1)</f>
        <v>9</v>
      </c>
      <c r="BB3" s="23">
        <f t="shared" ref="BB3" si="200">IF(BB4=BA4+1,BA3,BA3+1)</f>
        <v>9</v>
      </c>
      <c r="BC3" s="18">
        <f t="shared" ref="BC3" si="201">IF(BC4=BB4+1,BB3,BB3+1)</f>
        <v>10</v>
      </c>
      <c r="BD3" s="19">
        <f t="shared" ref="BD3" si="202">IF(BD4=BC4+1,BC3,BC3+1)</f>
        <v>10</v>
      </c>
      <c r="BE3" s="19">
        <f t="shared" ref="BE3" si="203">IF(BE4=BD4+1,BD3,BD3+1)</f>
        <v>10</v>
      </c>
      <c r="BF3" s="19">
        <f t="shared" ref="BF3" si="204">IF(BF4=BE4+1,BE3,BE3+1)</f>
        <v>10</v>
      </c>
      <c r="BG3" s="19">
        <f t="shared" ref="BG3" si="205">IF(BG4=BF4+1,BF3,BF3+1)</f>
        <v>10</v>
      </c>
      <c r="BH3" s="19">
        <f t="shared" ref="BH3" si="206">IF(BH4=BG4+1,BG3,BG3+1)</f>
        <v>11</v>
      </c>
      <c r="BI3" s="19">
        <f t="shared" ref="BI3" si="207">IF(BI4=BH4+1,BH3,BH3+1)</f>
        <v>11</v>
      </c>
      <c r="BJ3" s="19">
        <f t="shared" ref="BJ3" si="208">IF(BJ4=BI4+1,BI3,BI3+1)</f>
        <v>11</v>
      </c>
      <c r="BK3" s="19">
        <f t="shared" ref="BK3" si="209">IF(BK4=BJ4+1,BJ3,BJ3+1)</f>
        <v>11</v>
      </c>
      <c r="BL3" s="19">
        <f t="shared" ref="BL3" si="210">IF(BL4=BK4+1,BK3,BK3+1)</f>
        <v>11</v>
      </c>
      <c r="BM3" s="19">
        <f t="shared" ref="BM3" si="211">IF(BM4=BL4+1,BL3,BL3+1)</f>
        <v>12</v>
      </c>
      <c r="BN3" s="19">
        <f t="shared" ref="BN3" si="212">IF(BN4=BM4+1,BM3,BM3+1)</f>
        <v>12</v>
      </c>
      <c r="BO3" s="19">
        <f t="shared" ref="BO3" si="213">IF(BO4=BN4+1,BN3,BN3+1)</f>
        <v>12</v>
      </c>
      <c r="BP3" s="19">
        <f t="shared" ref="BP3" si="214">IF(BP4=BO4+1,BO3,BO3+1)</f>
        <v>12</v>
      </c>
      <c r="BQ3" s="19">
        <f t="shared" ref="BQ3" si="215">IF(BQ4=BP4+1,BP3,BP3+1)</f>
        <v>12</v>
      </c>
      <c r="BR3" s="19">
        <f t="shared" ref="BR3" si="216">IF(BR4=BQ4+1,BQ3,BQ3+1)</f>
        <v>13</v>
      </c>
      <c r="BS3" s="19">
        <f t="shared" ref="BS3" si="217">IF(BS4=BR4+1,BR3,BR3+1)</f>
        <v>13</v>
      </c>
      <c r="BT3" s="19">
        <f t="shared" ref="BT3" si="218">IF(BT4=BS4+1,BS3,BS3+1)</f>
        <v>13</v>
      </c>
      <c r="BU3" s="19">
        <f t="shared" ref="BU3" si="219">IF(BU4=BT4+1,BT3,BT3+1)</f>
        <v>13</v>
      </c>
      <c r="BV3" s="19">
        <f t="shared" ref="BV3" si="220">IF(BV4=BU4+1,BU3,BU3+1)</f>
        <v>13</v>
      </c>
      <c r="BW3" s="19">
        <f t="shared" ref="BW3" si="221">IF(BW4=BV4+1,BV3,BV3+1)</f>
        <v>14</v>
      </c>
      <c r="BX3" s="19">
        <f t="shared" ref="BX3" si="222">IF(BX4=BW4+1,BW3,BW3+1)</f>
        <v>14</v>
      </c>
      <c r="BY3" s="19">
        <f t="shared" ref="BY3" si="223">IF(BY4=BX4+1,BX3,BX3+1)</f>
        <v>14</v>
      </c>
      <c r="BZ3" s="19">
        <f t="shared" ref="BZ3" si="224">IF(BZ4=BY4+1,BY3,BY3+1)</f>
        <v>14</v>
      </c>
      <c r="CA3" s="19">
        <f t="shared" ref="CA3" si="225">IF(CA4=BZ4+1,BZ3,BZ3+1)</f>
        <v>14</v>
      </c>
      <c r="CB3" s="19">
        <f t="shared" ref="CB3" si="226">IF(CB4=CA4+1,CA3,CA3+1)</f>
        <v>15</v>
      </c>
      <c r="CC3" s="19">
        <f t="shared" ref="CC3" si="227">IF(CC4=CB4+1,CB3,CB3+1)</f>
        <v>15</v>
      </c>
      <c r="CD3" s="19">
        <f t="shared" ref="CD3" si="228">IF(CD4=CC4+1,CC3,CC3+1)</f>
        <v>15</v>
      </c>
      <c r="CE3" s="19">
        <f t="shared" ref="CE3:CF3" si="229">IF(CE4=CD4+1,CD3,CD3+1)</f>
        <v>15</v>
      </c>
      <c r="CF3" s="19">
        <f t="shared" si="229"/>
        <v>15</v>
      </c>
      <c r="CG3" s="19">
        <f t="shared" ref="CG3" si="230">IF(CG4=CF4+1,CF3,CF3+1)</f>
        <v>16</v>
      </c>
      <c r="CH3" s="19">
        <f t="shared" ref="CH3" si="231">IF(CH4=CG4+1,CG3,CG3+1)</f>
        <v>16</v>
      </c>
      <c r="CI3" s="19">
        <f t="shared" ref="CI3" si="232">IF(CI4=CH4+1,CH3,CH3+1)</f>
        <v>16</v>
      </c>
      <c r="CJ3" s="19">
        <f t="shared" ref="CJ3" si="233">IF(CJ4=CI4+1,CI3,CI3+1)</f>
        <v>16</v>
      </c>
      <c r="CK3" s="19">
        <f t="shared" ref="CK3" si="234">IF(CK4=CJ4+1,CJ3,CJ3+1)</f>
        <v>16</v>
      </c>
      <c r="CL3" s="19">
        <f t="shared" ref="CL3" si="235">IF(CL4=CK4+1,CK3,CK3+1)</f>
        <v>17</v>
      </c>
      <c r="CM3" s="19">
        <f t="shared" ref="CM3" si="236">IF(CM4=CL4+1,CL3,CL3+1)</f>
        <v>17</v>
      </c>
      <c r="CN3" s="19">
        <f t="shared" ref="CN3" si="237">IF(CN4=CM4+1,CM3,CM3+1)</f>
        <v>17</v>
      </c>
      <c r="CO3" s="19">
        <f t="shared" ref="CO3" si="238">IF(CO4=CN4+1,CN3,CN3+1)</f>
        <v>17</v>
      </c>
      <c r="CP3" s="19">
        <f t="shared" ref="CP3" si="239">IF(CP4=CO4+1,CO3,CO3+1)</f>
        <v>17</v>
      </c>
      <c r="CQ3" s="19">
        <f t="shared" ref="CQ3" si="240">IF(CQ4=CP4+1,CP3,CP3+1)</f>
        <v>18</v>
      </c>
      <c r="CR3" s="19">
        <f t="shared" ref="CR3" si="241">IF(CR4=CQ4+1,CQ3,CQ3+1)</f>
        <v>18</v>
      </c>
      <c r="CS3" s="19">
        <f t="shared" ref="CS3" si="242">IF(CS4=CR4+1,CR3,CR3+1)</f>
        <v>18</v>
      </c>
      <c r="CT3" s="19">
        <f t="shared" ref="CT3" si="243">IF(CT4=CS4+1,CS3,CS3+1)</f>
        <v>18</v>
      </c>
      <c r="CU3" s="19">
        <f t="shared" ref="CU3" si="244">IF(CU4=CT4+1,CT3,CT3+1)</f>
        <v>18</v>
      </c>
      <c r="CV3" s="19">
        <f t="shared" ref="CV3" si="245">IF(CV4=CU4+1,CU3,CU3+1)</f>
        <v>19</v>
      </c>
      <c r="CW3" s="19">
        <f t="shared" ref="CW3" si="246">IF(CW4=CV4+1,CV3,CV3+1)</f>
        <v>19</v>
      </c>
      <c r="CX3" s="19">
        <f t="shared" ref="CX3" si="247">IF(CX4=CW4+1,CW3,CW3+1)</f>
        <v>19</v>
      </c>
      <c r="CY3" s="19">
        <f t="shared" ref="CY3" si="248">IF(CY4=CX4+1,CX3,CX3+1)</f>
        <v>19</v>
      </c>
      <c r="CZ3" s="19">
        <f t="shared" ref="CZ3" si="249">IF(CZ4=CY4+1,CY3,CY3+1)</f>
        <v>19</v>
      </c>
      <c r="DA3" s="19">
        <f t="shared" ref="DA3" si="250">IF(DA4=CZ4+1,CZ3,CZ3+1)</f>
        <v>20</v>
      </c>
      <c r="DB3" s="19">
        <f t="shared" ref="DB3" si="251">IF(DB4=DA4+1,DA3,DA3+1)</f>
        <v>20</v>
      </c>
      <c r="DC3" s="19">
        <f t="shared" ref="DC3" si="252">IF(DC4=DB4+1,DB3,DB3+1)</f>
        <v>20</v>
      </c>
      <c r="DD3" s="19">
        <f t="shared" ref="DD3" si="253">IF(DD4=DC4+1,DC3,DC3+1)</f>
        <v>20</v>
      </c>
      <c r="DE3" s="19">
        <f t="shared" ref="DE3" si="254">IF(DE4=DD4+1,DD3,DD3+1)</f>
        <v>20</v>
      </c>
      <c r="DF3" s="19">
        <f t="shared" ref="DF3" si="255">IF(DF4=DE4+1,DE3,DE3+1)</f>
        <v>21</v>
      </c>
      <c r="DG3" s="19">
        <f t="shared" ref="DG3" si="256">IF(DG4=DF4+1,DF3,DF3+1)</f>
        <v>21</v>
      </c>
      <c r="DH3" s="19">
        <f t="shared" ref="DH3" si="257">IF(DH4=DG4+1,DG3,DG3+1)</f>
        <v>21</v>
      </c>
      <c r="DI3" s="19">
        <f t="shared" ref="DI3" si="258">IF(DI4=DH4+1,DH3,DH3+1)</f>
        <v>21</v>
      </c>
      <c r="DJ3" s="19">
        <f t="shared" ref="DJ3" si="259">IF(DJ4=DI4+1,DI3,DI3+1)</f>
        <v>21</v>
      </c>
      <c r="DK3" s="19">
        <f t="shared" ref="DK3" si="260">IF(DK4=DJ4+1,DJ3,DJ3+1)</f>
        <v>22</v>
      </c>
      <c r="DL3" s="19">
        <f t="shared" ref="DL3" si="261">IF(DL4=DK4+1,DK3,DK3+1)</f>
        <v>22</v>
      </c>
      <c r="DM3" s="19">
        <f t="shared" ref="DM3" si="262">IF(DM4=DL4+1,DL3,DL3+1)</f>
        <v>22</v>
      </c>
      <c r="DN3" s="19">
        <f t="shared" ref="DN3" si="263">IF(DN4=DM4+1,DM3,DM3+1)</f>
        <v>22</v>
      </c>
      <c r="DO3" s="19">
        <f t="shared" ref="DO3" si="264">IF(DO4=DN4+1,DN3,DN3+1)</f>
        <v>22</v>
      </c>
      <c r="DP3" s="19">
        <f t="shared" ref="DP3" si="265">IF(DP4=DO4+1,DO3,DO3+1)</f>
        <v>23</v>
      </c>
      <c r="DQ3" s="19">
        <f t="shared" ref="DQ3" si="266">IF(DQ4=DP4+1,DP3,DP3+1)</f>
        <v>23</v>
      </c>
      <c r="DR3" s="19">
        <f t="shared" ref="DR3" si="267">IF(DR4=DQ4+1,DQ3,DQ3+1)</f>
        <v>23</v>
      </c>
      <c r="DS3" s="19">
        <f t="shared" ref="DS3" si="268">IF(DS4=DR4+1,DR3,DR3+1)</f>
        <v>23</v>
      </c>
      <c r="DT3" s="19">
        <f t="shared" ref="DT3" si="269">IF(DT4=DS4+1,DS3,DS3+1)</f>
        <v>23</v>
      </c>
      <c r="DU3" s="19">
        <f t="shared" ref="DU3" si="270">IF(DU4=DT4+1,DT3,DT3+1)</f>
        <v>24</v>
      </c>
      <c r="DV3" s="19">
        <f t="shared" ref="DV3" si="271">IF(DV4=DU4+1,DU3,DU3+1)</f>
        <v>24</v>
      </c>
      <c r="DW3" s="19">
        <f t="shared" ref="DW3" si="272">IF(DW4=DV4+1,DV3,DV3+1)</f>
        <v>24</v>
      </c>
      <c r="DX3" s="19">
        <f t="shared" ref="DX3" si="273">IF(DX4=DW4+1,DW3,DW3+1)</f>
        <v>24</v>
      </c>
      <c r="DY3" s="19">
        <f t="shared" ref="DY3" si="274">IF(DY4=DX4+1,DX3,DX3+1)</f>
        <v>24</v>
      </c>
      <c r="DZ3" s="19">
        <f t="shared" ref="DZ3" si="275">IF(DZ4=DY4+1,DY3,DY3+1)</f>
        <v>25</v>
      </c>
      <c r="EA3" s="19">
        <f t="shared" ref="EA3" si="276">IF(EA4=DZ4+1,DZ3,DZ3+1)</f>
        <v>25</v>
      </c>
      <c r="EB3" s="19">
        <f t="shared" ref="EB3" si="277">IF(EB4=EA4+1,EA3,EA3+1)</f>
        <v>25</v>
      </c>
      <c r="EC3" s="19">
        <f t="shared" ref="EC3" si="278">IF(EC4=EB4+1,EB3,EB3+1)</f>
        <v>25</v>
      </c>
      <c r="ED3" s="19">
        <f t="shared" ref="ED3" si="279">IF(ED4=EC4+1,EC3,EC3+1)</f>
        <v>25</v>
      </c>
      <c r="EE3" s="19">
        <f t="shared" ref="EE3" si="280">IF(EE4=ED4+1,ED3,ED3+1)</f>
        <v>26</v>
      </c>
      <c r="EF3" s="19">
        <f t="shared" ref="EF3" si="281">IF(EF4=EE4+1,EE3,EE3+1)</f>
        <v>26</v>
      </c>
      <c r="EG3" s="19">
        <f t="shared" ref="EG3" si="282">IF(EG4=EF4+1,EF3,EF3+1)</f>
        <v>26</v>
      </c>
      <c r="EH3" s="19">
        <f t="shared" ref="EH3" si="283">IF(EH4=EG4+1,EG3,EG3+1)</f>
        <v>26</v>
      </c>
      <c r="EI3" s="19">
        <f t="shared" ref="EI3" si="284">IF(EI4=EH4+1,EH3,EH3+1)</f>
        <v>26</v>
      </c>
      <c r="EJ3" s="19">
        <f t="shared" ref="EJ3" si="285">IF(EJ4=EI4+1,EI3,EI3+1)</f>
        <v>27</v>
      </c>
      <c r="EK3" s="19">
        <f t="shared" ref="EK3" si="286">IF(EK4=EJ4+1,EJ3,EJ3+1)</f>
        <v>27</v>
      </c>
      <c r="EL3" s="19">
        <f t="shared" ref="EL3" si="287">IF(EL4=EK4+1,EK3,EK3+1)</f>
        <v>27</v>
      </c>
      <c r="EM3" s="19">
        <f t="shared" ref="EM3" si="288">IF(EM4=EL4+1,EL3,EL3+1)</f>
        <v>27</v>
      </c>
      <c r="EN3" s="19">
        <f t="shared" ref="EN3" si="289">IF(EN4=EM4+1,EM3,EM3+1)</f>
        <v>27</v>
      </c>
      <c r="EO3" s="19">
        <f t="shared" ref="EO3" si="290">IF(EO4=EN4+1,EN3,EN3+1)</f>
        <v>28</v>
      </c>
      <c r="EP3" s="19">
        <f t="shared" ref="EP3" si="291">IF(EP4=EO4+1,EO3,EO3+1)</f>
        <v>28</v>
      </c>
      <c r="EQ3" s="19">
        <f t="shared" ref="EQ3" si="292">IF(EQ4=EP4+1,EP3,EP3+1)</f>
        <v>28</v>
      </c>
      <c r="ER3" s="19">
        <f t="shared" ref="ER3" si="293">IF(ER4=EQ4+1,EQ3,EQ3+1)</f>
        <v>28</v>
      </c>
      <c r="ES3" s="19">
        <f t="shared" ref="ES3" si="294">IF(ES4=ER4+1,ER3,ER3+1)</f>
        <v>28</v>
      </c>
      <c r="ET3" s="19">
        <f t="shared" ref="ET3" si="295">IF(ET4=ES4+1,ES3,ES3+1)</f>
        <v>29</v>
      </c>
      <c r="EU3" s="19">
        <f t="shared" ref="EU3" si="296">IF(EU4=ET4+1,ET3,ET3+1)</f>
        <v>29</v>
      </c>
      <c r="EV3" s="19">
        <f t="shared" ref="EV3" si="297">IF(EV4=EU4+1,EU3,EU3+1)</f>
        <v>29</v>
      </c>
      <c r="EW3" s="19">
        <f t="shared" ref="EW3" si="298">IF(EW4=EV4+1,EV3,EV3+1)</f>
        <v>29</v>
      </c>
      <c r="EX3" s="19">
        <f t="shared" ref="EX3" si="299">IF(EX4=EW4+1,EW3,EW3+1)</f>
        <v>29</v>
      </c>
      <c r="EY3" s="19">
        <f t="shared" ref="EY3" si="300">IF(EY4=EX4+1,EX3,EX3+1)</f>
        <v>30</v>
      </c>
      <c r="EZ3" s="19">
        <f t="shared" ref="EZ3" si="301">IF(EZ4=EY4+1,EY3,EY3+1)</f>
        <v>30</v>
      </c>
      <c r="FA3" s="19">
        <f t="shared" ref="FA3" si="302">IF(FA4=EZ4+1,EZ3,EZ3+1)</f>
        <v>30</v>
      </c>
      <c r="FB3" s="19">
        <f t="shared" ref="FB3" si="303">IF(FB4=FA4+1,FA3,FA3+1)</f>
        <v>30</v>
      </c>
      <c r="FC3" s="19">
        <f t="shared" ref="FC3" si="304">IF(FC4=FB4+1,FB3,FB3+1)</f>
        <v>30</v>
      </c>
      <c r="FD3" s="19">
        <f t="shared" ref="FD3" si="305">IF(FD4=FC4+1,FC3,FC3+1)</f>
        <v>31</v>
      </c>
      <c r="FE3" s="19">
        <f t="shared" ref="FE3" si="306">IF(FE4=FD4+1,FD3,FD3+1)</f>
        <v>31</v>
      </c>
      <c r="FF3" s="19">
        <f t="shared" ref="FF3" si="307">IF(FF4=FE4+1,FE3,FE3+1)</f>
        <v>31</v>
      </c>
      <c r="FG3" s="19">
        <f t="shared" ref="FG3" si="308">IF(FG4=FF4+1,FF3,FF3+1)</f>
        <v>31</v>
      </c>
      <c r="FH3" s="19">
        <f t="shared" ref="FH3" si="309">IF(FH4=FG4+1,FG3,FG3+1)</f>
        <v>31</v>
      </c>
      <c r="FI3" s="19">
        <f t="shared" ref="FI3" si="310">IF(FI4=FH4+1,FH3,FH3+1)</f>
        <v>32</v>
      </c>
      <c r="FJ3" s="19">
        <f t="shared" ref="FJ3" si="311">IF(FJ4=FI4+1,FI3,FI3+1)</f>
        <v>32</v>
      </c>
      <c r="FK3" s="19">
        <f t="shared" ref="FK3" si="312">IF(FK4=FJ4+1,FJ3,FJ3+1)</f>
        <v>32</v>
      </c>
      <c r="FL3" s="19">
        <f t="shared" ref="FL3" si="313">IF(FL4=FK4+1,FK3,FK3+1)</f>
        <v>32</v>
      </c>
      <c r="FM3" s="19">
        <f t="shared" ref="FM3" si="314">IF(FM4=FL4+1,FL3,FL3+1)</f>
        <v>32</v>
      </c>
      <c r="FN3" s="19">
        <f t="shared" ref="FN3" si="315">IF(FN4=FM4+1,FM3,FM3+1)</f>
        <v>33</v>
      </c>
      <c r="FO3" s="19">
        <f t="shared" ref="FO3" si="316">IF(FO4=FN4+1,FN3,FN3+1)</f>
        <v>33</v>
      </c>
      <c r="FP3" s="19">
        <f t="shared" ref="FP3" si="317">IF(FP4=FO4+1,FO3,FO3+1)</f>
        <v>33</v>
      </c>
      <c r="FQ3" s="19">
        <f t="shared" ref="FQ3" si="318">IF(FQ4=FP4+1,FP3,FP3+1)</f>
        <v>33</v>
      </c>
      <c r="FR3" s="19">
        <f t="shared" ref="FR3" si="319">IF(FR4=FQ4+1,FQ3,FQ3+1)</f>
        <v>33</v>
      </c>
      <c r="FS3" s="19">
        <f t="shared" ref="FS3" si="320">IF(FS4=FR4+1,FR3,FR3+1)</f>
        <v>34</v>
      </c>
      <c r="FT3" s="19">
        <f t="shared" ref="FT3" si="321">IF(FT4=FS4+1,FS3,FS3+1)</f>
        <v>34</v>
      </c>
      <c r="FU3" s="19">
        <f t="shared" ref="FU3" si="322">IF(FU4=FT4+1,FT3,FT3+1)</f>
        <v>34</v>
      </c>
      <c r="FV3" s="19">
        <f t="shared" ref="FV3" si="323">IF(FV4=FU4+1,FU3,FU3+1)</f>
        <v>34</v>
      </c>
      <c r="FW3" s="19">
        <f t="shared" ref="FW3" si="324">IF(FW4=FV4+1,FV3,FV3+1)</f>
        <v>34</v>
      </c>
      <c r="FX3" s="19">
        <f t="shared" ref="FX3" si="325">IF(FX4=FW4+1,FW3,FW3+1)</f>
        <v>35</v>
      </c>
      <c r="FY3" s="19">
        <f t="shared" ref="FY3" si="326">IF(FY4=FX4+1,FX3,FX3+1)</f>
        <v>35</v>
      </c>
      <c r="FZ3" s="19">
        <f t="shared" ref="FZ3" si="327">IF(FZ4=FY4+1,FY3,FY3+1)</f>
        <v>35</v>
      </c>
      <c r="GA3" s="19">
        <f t="shared" ref="GA3" si="328">IF(GA4=FZ4+1,FZ3,FZ3+1)</f>
        <v>35</v>
      </c>
      <c r="GB3" s="19">
        <f t="shared" ref="GB3" si="329">IF(GB4=GA4+1,GA3,GA3+1)</f>
        <v>35</v>
      </c>
      <c r="GC3" s="19">
        <f t="shared" ref="GC3" si="330">IF(GC4=GB4+1,GB3,GB3+1)</f>
        <v>36</v>
      </c>
      <c r="GD3" s="19">
        <f t="shared" ref="GD3" si="331">IF(GD4=GC4+1,GC3,GC3+1)</f>
        <v>36</v>
      </c>
      <c r="GE3" s="19">
        <f t="shared" ref="GE3" si="332">IF(GE4=GD4+1,GD3,GD3+1)</f>
        <v>36</v>
      </c>
      <c r="GF3" s="19">
        <f t="shared" ref="GF3" si="333">IF(GF4=GE4+1,GE3,GE3+1)</f>
        <v>36</v>
      </c>
      <c r="GG3" s="19">
        <f t="shared" ref="GG3" si="334">IF(GG4=GF4+1,GF3,GF3+1)</f>
        <v>36</v>
      </c>
      <c r="GH3" s="19">
        <f t="shared" ref="GH3" si="335">IF(GH4=GG4+1,GG3,GG3+1)</f>
        <v>37</v>
      </c>
      <c r="GI3" s="19">
        <f t="shared" ref="GI3" si="336">IF(GI4=GH4+1,GH3,GH3+1)</f>
        <v>37</v>
      </c>
      <c r="GJ3" s="19">
        <f t="shared" ref="GJ3" si="337">IF(GJ4=GI4+1,GI3,GI3+1)</f>
        <v>37</v>
      </c>
      <c r="GK3" s="19">
        <f t="shared" ref="GK3" si="338">IF(GK4=GJ4+1,GJ3,GJ3+1)</f>
        <v>37</v>
      </c>
      <c r="GL3" s="19">
        <f t="shared" ref="GL3" si="339">IF(GL4=GK4+1,GK3,GK3+1)</f>
        <v>37</v>
      </c>
      <c r="GM3" s="19">
        <f t="shared" ref="GM3" si="340">IF(GM4=GL4+1,GL3,GL3+1)</f>
        <v>38</v>
      </c>
      <c r="GN3" s="19">
        <f t="shared" ref="GN3" si="341">IF(GN4=GM4+1,GM3,GM3+1)</f>
        <v>38</v>
      </c>
      <c r="GO3" s="19">
        <f t="shared" ref="GO3" si="342">IF(GO4=GN4+1,GN3,GN3+1)</f>
        <v>38</v>
      </c>
      <c r="GP3" s="19">
        <f t="shared" ref="GP3" si="343">IF(GP4=GO4+1,GO3,GO3+1)</f>
        <v>38</v>
      </c>
      <c r="GQ3" s="19">
        <f t="shared" ref="GQ3" si="344">IF(GQ4=GP4+1,GP3,GP3+1)</f>
        <v>38</v>
      </c>
      <c r="GR3" s="19">
        <f t="shared" ref="GR3" si="345">IF(GR4=GQ4+1,GQ3,GQ3+1)</f>
        <v>39</v>
      </c>
      <c r="GS3" s="19">
        <f t="shared" ref="GS3" si="346">IF(GS4=GR4+1,GR3,GR3+1)</f>
        <v>39</v>
      </c>
      <c r="GT3" s="19">
        <f t="shared" ref="GT3" si="347">IF(GT4=GS4+1,GS3,GS3+1)</f>
        <v>39</v>
      </c>
      <c r="GU3" s="19">
        <f t="shared" ref="GU3" si="348">IF(GU4=GT4+1,GT3,GT3+1)</f>
        <v>39</v>
      </c>
      <c r="GV3" s="19">
        <f t="shared" ref="GV3" si="349">IF(GV4=GU4+1,GU3,GU3+1)</f>
        <v>39</v>
      </c>
      <c r="GW3" s="19">
        <f t="shared" ref="GW3" si="350">IF(GW4=GV4+1,GV3,GV3+1)</f>
        <v>40</v>
      </c>
      <c r="GX3" s="19">
        <f t="shared" ref="GX3" si="351">IF(GX4=GW4+1,GW3,GW3+1)</f>
        <v>40</v>
      </c>
      <c r="GY3" s="19">
        <f t="shared" ref="GY3" si="352">IF(GY4=GX4+1,GX3,GX3+1)</f>
        <v>40</v>
      </c>
      <c r="GZ3" s="19">
        <f t="shared" ref="GZ3" si="353">IF(GZ4=GY4+1,GY3,GY3+1)</f>
        <v>40</v>
      </c>
      <c r="HA3" s="19">
        <f t="shared" ref="HA3" si="354">IF(HA4=GZ4+1,GZ3,GZ3+1)</f>
        <v>40</v>
      </c>
      <c r="HB3" s="19">
        <f t="shared" ref="HB3" si="355">IF(HB4=HA4+1,HA3,HA3+1)</f>
        <v>41</v>
      </c>
      <c r="HC3" s="19">
        <f t="shared" ref="HC3" si="356">IF(HC4=HB4+1,HB3,HB3+1)</f>
        <v>41</v>
      </c>
      <c r="HD3" s="19">
        <f t="shared" ref="HD3" si="357">IF(HD4=HC4+1,HC3,HC3+1)</f>
        <v>41</v>
      </c>
      <c r="HE3" s="19">
        <f t="shared" ref="HE3" si="358">IF(HE4=HD4+1,HD3,HD3+1)</f>
        <v>41</v>
      </c>
      <c r="HF3" s="19">
        <f t="shared" ref="HF3" si="359">IF(HF4=HE4+1,HE3,HE3+1)</f>
        <v>41</v>
      </c>
      <c r="HG3" s="19">
        <f t="shared" ref="HG3" si="360">IF(HG4=HF4+1,HF3,HF3+1)</f>
        <v>42</v>
      </c>
      <c r="HH3" s="19">
        <f t="shared" ref="HH3" si="361">IF(HH4=HG4+1,HG3,HG3+1)</f>
        <v>42</v>
      </c>
      <c r="HI3" s="19">
        <f t="shared" ref="HI3" si="362">IF(HI4=HH4+1,HH3,HH3+1)</f>
        <v>42</v>
      </c>
      <c r="HJ3" s="19">
        <f t="shared" ref="HJ3" si="363">IF(HJ4=HI4+1,HI3,HI3+1)</f>
        <v>42</v>
      </c>
      <c r="HK3" s="19">
        <f t="shared" ref="HK3" si="364">IF(HK4=HJ4+1,HJ3,HJ3+1)</f>
        <v>42</v>
      </c>
      <c r="HL3" s="19">
        <f t="shared" ref="HL3" si="365">IF(HL4=HK4+1,HK3,HK3+1)</f>
        <v>43</v>
      </c>
      <c r="HM3" s="19">
        <f t="shared" ref="HM3" si="366">IF(HM4=HL4+1,HL3,HL3+1)</f>
        <v>43</v>
      </c>
      <c r="HN3" s="19">
        <f t="shared" ref="HN3" si="367">IF(HN4=HM4+1,HM3,HM3+1)</f>
        <v>43</v>
      </c>
      <c r="HO3" s="19">
        <f t="shared" ref="HO3" si="368">IF(HO4=HN4+1,HN3,HN3+1)</f>
        <v>43</v>
      </c>
      <c r="HP3" s="19">
        <f t="shared" ref="HP3" si="369">IF(HP4=HO4+1,HO3,HO3+1)</f>
        <v>43</v>
      </c>
      <c r="HQ3" s="19">
        <f t="shared" ref="HQ3" si="370">IF(HQ4=HP4+1,HP3,HP3+1)</f>
        <v>44</v>
      </c>
      <c r="HR3" s="19">
        <f t="shared" ref="HR3" si="371">IF(HR4=HQ4+1,HQ3,HQ3+1)</f>
        <v>44</v>
      </c>
      <c r="HS3" s="19">
        <f t="shared" ref="HS3" si="372">IF(HS4=HR4+1,HR3,HR3+1)</f>
        <v>44</v>
      </c>
      <c r="HT3" s="19">
        <f t="shared" ref="HT3" si="373">IF(HT4=HS4+1,HS3,HS3+1)</f>
        <v>44</v>
      </c>
      <c r="HU3" s="19">
        <f t="shared" ref="HU3" si="374">IF(HU4=HT4+1,HT3,HT3+1)</f>
        <v>44</v>
      </c>
      <c r="HV3" s="19">
        <f t="shared" ref="HV3" si="375">IF(HV4=HU4+1,HU3,HU3+1)</f>
        <v>45</v>
      </c>
      <c r="HW3" s="19">
        <f t="shared" ref="HW3" si="376">IF(HW4=HV4+1,HV3,HV3+1)</f>
        <v>45</v>
      </c>
      <c r="HX3" s="19">
        <f t="shared" ref="HX3" si="377">IF(HX4=HW4+1,HW3,HW3+1)</f>
        <v>45</v>
      </c>
      <c r="HY3" s="19">
        <f t="shared" ref="HY3" si="378">IF(HY4=HX4+1,HX3,HX3+1)</f>
        <v>45</v>
      </c>
      <c r="HZ3" s="19">
        <f t="shared" ref="HZ3" si="379">IF(HZ4=HY4+1,HY3,HY3+1)</f>
        <v>45</v>
      </c>
      <c r="IA3" s="19">
        <f t="shared" ref="IA3" si="380">IF(IA4=HZ4+1,HZ3,HZ3+1)</f>
        <v>46</v>
      </c>
      <c r="IB3" s="19">
        <f t="shared" ref="IB3" si="381">IF(IB4=IA4+1,IA3,IA3+1)</f>
        <v>46</v>
      </c>
      <c r="IC3" s="19">
        <f t="shared" ref="IC3" si="382">IF(IC4=IB4+1,IB3,IB3+1)</f>
        <v>46</v>
      </c>
      <c r="ID3" s="19">
        <f t="shared" ref="ID3" si="383">IF(ID4=IC4+1,IC3,IC3+1)</f>
        <v>46</v>
      </c>
      <c r="IE3" s="19">
        <f t="shared" ref="IE3" si="384">IF(IE4=ID4+1,ID3,ID3+1)</f>
        <v>46</v>
      </c>
      <c r="IF3" s="19">
        <f t="shared" ref="IF3" si="385">IF(IF4=IE4+1,IE3,IE3+1)</f>
        <v>47</v>
      </c>
      <c r="IG3" s="19">
        <f t="shared" ref="IG3" si="386">IF(IG4=IF4+1,IF3,IF3+1)</f>
        <v>47</v>
      </c>
      <c r="IH3" s="19">
        <f t="shared" ref="IH3" si="387">IF(IH4=IG4+1,IG3,IG3+1)</f>
        <v>47</v>
      </c>
      <c r="II3" s="19">
        <f t="shared" ref="II3" si="388">IF(II4=IH4+1,IH3,IH3+1)</f>
        <v>47</v>
      </c>
      <c r="IJ3" s="19">
        <f t="shared" ref="IJ3" si="389">IF(IJ4=II4+1,II3,II3+1)</f>
        <v>47</v>
      </c>
      <c r="IK3" s="19">
        <f t="shared" ref="IK3" si="390">IF(IK4=IJ4+1,IJ3,IJ3+1)</f>
        <v>48</v>
      </c>
      <c r="IL3" s="19">
        <f t="shared" ref="IL3" si="391">IF(IL4=IK4+1,IK3,IK3+1)</f>
        <v>48</v>
      </c>
      <c r="IM3" s="19">
        <f t="shared" ref="IM3" si="392">IF(IM4=IL4+1,IL3,IL3+1)</f>
        <v>48</v>
      </c>
      <c r="IN3" s="19">
        <f t="shared" ref="IN3" si="393">IF(IN4=IM4+1,IM3,IM3+1)</f>
        <v>48</v>
      </c>
      <c r="IO3" s="19">
        <f t="shared" ref="IO3" si="394">IF(IO4=IN4+1,IN3,IN3+1)</f>
        <v>48</v>
      </c>
      <c r="IP3" s="19">
        <f t="shared" ref="IP3" si="395">IF(IP4=IO4+1,IO3,IO3+1)</f>
        <v>49</v>
      </c>
      <c r="IQ3" s="19">
        <f t="shared" ref="IQ3" si="396">IF(IQ4=IP4+1,IP3,IP3+1)</f>
        <v>49</v>
      </c>
      <c r="IR3" s="19">
        <f t="shared" ref="IR3" si="397">IF(IR4=IQ4+1,IQ3,IQ3+1)</f>
        <v>49</v>
      </c>
      <c r="IS3" s="19">
        <f t="shared" ref="IS3" si="398">IF(IS4=IR4+1,IR3,IR3+1)</f>
        <v>49</v>
      </c>
      <c r="IT3" s="19">
        <f t="shared" ref="IT3" si="399">IF(IT4=IS4+1,IS3,IS3+1)</f>
        <v>49</v>
      </c>
      <c r="IU3" s="19">
        <f t="shared" ref="IU3" si="400">IF(IU4=IT4+1,IT3,IT3+1)</f>
        <v>50</v>
      </c>
      <c r="IV3" s="19">
        <f t="shared" ref="IV3" si="401">IF(IV4=IU4+1,IU3,IU3+1)</f>
        <v>50</v>
      </c>
      <c r="IW3" s="19">
        <f t="shared" ref="IW3" si="402">IF(IW4=IV4+1,IV3,IV3+1)</f>
        <v>50</v>
      </c>
      <c r="IX3" s="19">
        <f t="shared" ref="IX3" si="403">IF(IX4=IW4+1,IW3,IW3+1)</f>
        <v>50</v>
      </c>
      <c r="IY3" s="19">
        <f t="shared" ref="IY3" si="404">IF(IY4=IX4+1,IX3,IX3+1)</f>
        <v>50</v>
      </c>
      <c r="IZ3" s="19">
        <f t="shared" ref="IZ3" si="405">IF(IZ4=IY4+1,IY3,IY3+1)</f>
        <v>51</v>
      </c>
      <c r="JA3" s="19">
        <f t="shared" ref="JA3" si="406">IF(JA4=IZ4+1,IZ3,IZ3+1)</f>
        <v>51</v>
      </c>
      <c r="JB3" s="19">
        <f t="shared" ref="JB3" si="407">IF(JB4=JA4+1,JA3,JA3+1)</f>
        <v>51</v>
      </c>
      <c r="JC3" s="19">
        <f t="shared" ref="JC3" si="408">IF(JC4=JB4+1,JB3,JB3+1)</f>
        <v>51</v>
      </c>
      <c r="JD3" s="19">
        <f t="shared" ref="JD3" si="409">IF(JD4=JC4+1,JC3,JC3+1)</f>
        <v>51</v>
      </c>
      <c r="JE3" s="19">
        <f t="shared" ref="JE3" si="410">IF(JE4=JD4+1,JD3,JD3+1)</f>
        <v>52</v>
      </c>
      <c r="JF3" s="19">
        <f t="shared" ref="JF3" si="411">IF(JF4=JE4+1,JE3,JE3+1)</f>
        <v>52</v>
      </c>
      <c r="JG3" s="19">
        <f t="shared" ref="JG3" si="412">IF(JG4=JF4+1,JF3,JF3+1)</f>
        <v>52</v>
      </c>
      <c r="JH3" s="19">
        <f t="shared" ref="JH3" si="413">IF(JH4=JG4+1,JG3,JG3+1)</f>
        <v>52</v>
      </c>
      <c r="JI3" s="19">
        <f t="shared" ref="JI3" si="414">IF(JI4=JH4+1,JH3,JH3+1)</f>
        <v>52</v>
      </c>
    </row>
    <row r="4" spans="2:269" ht="37.700000000000003" customHeight="1">
      <c r="D4" s="33"/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20">
        <f>H3</f>
        <v>44564</v>
      </c>
      <c r="K4" s="21">
        <f>IF(WEEKDAY(J4+1)=7,J4+3,J4+1)</f>
        <v>44565</v>
      </c>
      <c r="L4" s="21">
        <f t="shared" ref="L4:AV4" si="415">IF(WEEKDAY(K4+1)=7,K4+3,K4+1)</f>
        <v>44566</v>
      </c>
      <c r="M4" s="21">
        <f t="shared" si="415"/>
        <v>44567</v>
      </c>
      <c r="N4" s="21">
        <f t="shared" si="415"/>
        <v>44568</v>
      </c>
      <c r="O4" s="21">
        <f>IF(WEEKDAY(N4+1)=7,N4+3,N4+1)</f>
        <v>44571</v>
      </c>
      <c r="P4" s="21">
        <f t="shared" si="415"/>
        <v>44572</v>
      </c>
      <c r="Q4" s="21">
        <f t="shared" si="415"/>
        <v>44573</v>
      </c>
      <c r="R4" s="21">
        <f t="shared" si="415"/>
        <v>44574</v>
      </c>
      <c r="S4" s="21">
        <f t="shared" si="415"/>
        <v>44575</v>
      </c>
      <c r="T4" s="21">
        <f t="shared" si="415"/>
        <v>44578</v>
      </c>
      <c r="U4" s="21">
        <f t="shared" si="415"/>
        <v>44579</v>
      </c>
      <c r="V4" s="21">
        <f t="shared" si="415"/>
        <v>44580</v>
      </c>
      <c r="W4" s="21">
        <f t="shared" si="415"/>
        <v>44581</v>
      </c>
      <c r="X4" s="21">
        <f t="shared" si="415"/>
        <v>44582</v>
      </c>
      <c r="Y4" s="21">
        <f t="shared" si="415"/>
        <v>44585</v>
      </c>
      <c r="Z4" s="21">
        <f t="shared" si="415"/>
        <v>44586</v>
      </c>
      <c r="AA4" s="21">
        <f t="shared" si="415"/>
        <v>44587</v>
      </c>
      <c r="AB4" s="21">
        <f t="shared" si="415"/>
        <v>44588</v>
      </c>
      <c r="AC4" s="21">
        <f t="shared" si="415"/>
        <v>44589</v>
      </c>
      <c r="AD4" s="21">
        <f t="shared" si="415"/>
        <v>44592</v>
      </c>
      <c r="AE4" s="21">
        <f t="shared" si="415"/>
        <v>44593</v>
      </c>
      <c r="AF4" s="21">
        <f t="shared" si="415"/>
        <v>44594</v>
      </c>
      <c r="AG4" s="21">
        <f t="shared" si="415"/>
        <v>44595</v>
      </c>
      <c r="AH4" s="21">
        <f t="shared" si="415"/>
        <v>44596</v>
      </c>
      <c r="AI4" s="21">
        <f t="shared" si="415"/>
        <v>44599</v>
      </c>
      <c r="AJ4" s="21">
        <f t="shared" si="415"/>
        <v>44600</v>
      </c>
      <c r="AK4" s="21">
        <f t="shared" si="415"/>
        <v>44601</v>
      </c>
      <c r="AL4" s="21">
        <f t="shared" si="415"/>
        <v>44602</v>
      </c>
      <c r="AM4" s="21">
        <f t="shared" si="415"/>
        <v>44603</v>
      </c>
      <c r="AN4" s="21">
        <f t="shared" si="415"/>
        <v>44606</v>
      </c>
      <c r="AO4" s="21">
        <f t="shared" si="415"/>
        <v>44607</v>
      </c>
      <c r="AP4" s="21">
        <f t="shared" si="415"/>
        <v>44608</v>
      </c>
      <c r="AQ4" s="21">
        <f t="shared" si="415"/>
        <v>44609</v>
      </c>
      <c r="AR4" s="21">
        <f t="shared" si="415"/>
        <v>44610</v>
      </c>
      <c r="AS4" s="21">
        <f t="shared" si="415"/>
        <v>44613</v>
      </c>
      <c r="AT4" s="21">
        <f t="shared" si="415"/>
        <v>44614</v>
      </c>
      <c r="AU4" s="21">
        <f t="shared" si="415"/>
        <v>44615</v>
      </c>
      <c r="AV4" s="21">
        <f t="shared" si="415"/>
        <v>44616</v>
      </c>
      <c r="AW4" s="21">
        <f t="shared" ref="AW4" si="416">IF(WEEKDAY(AV4+1)=7,AV4+3,AV4+1)</f>
        <v>44617</v>
      </c>
      <c r="AX4" s="21">
        <f t="shared" ref="AX4" si="417">IF(WEEKDAY(AW4+1)=7,AW4+3,AW4+1)</f>
        <v>44620</v>
      </c>
      <c r="AY4" s="21">
        <f t="shared" ref="AY4" si="418">IF(WEEKDAY(AX4+1)=7,AX4+3,AX4+1)</f>
        <v>44621</v>
      </c>
      <c r="AZ4" s="21">
        <f t="shared" ref="AZ4" si="419">IF(WEEKDAY(AY4+1)=7,AY4+3,AY4+1)</f>
        <v>44622</v>
      </c>
      <c r="BA4" s="24">
        <f t="shared" ref="BA4" si="420">IF(WEEKDAY(AZ4+1)=7,AZ4+3,AZ4+1)</f>
        <v>44623</v>
      </c>
      <c r="BB4" s="24">
        <f t="shared" ref="BB4" si="421">IF(WEEKDAY(BA4+1)=7,BA4+3,BA4+1)</f>
        <v>44624</v>
      </c>
      <c r="BC4" s="20">
        <f t="shared" ref="BC4" si="422">IF(WEEKDAY(BB4+1)=7,BB4+3,BB4+1)</f>
        <v>44627</v>
      </c>
      <c r="BD4" s="21">
        <f t="shared" ref="BD4" si="423">IF(WEEKDAY(BC4+1)=7,BC4+3,BC4+1)</f>
        <v>44628</v>
      </c>
      <c r="BE4" s="21">
        <f t="shared" ref="BE4" si="424">IF(WEEKDAY(BD4+1)=7,BD4+3,BD4+1)</f>
        <v>44629</v>
      </c>
      <c r="BF4" s="21">
        <f t="shared" ref="BF4" si="425">IF(WEEKDAY(BE4+1)=7,BE4+3,BE4+1)</f>
        <v>44630</v>
      </c>
      <c r="BG4" s="21">
        <f t="shared" ref="BG4" si="426">IF(WEEKDAY(BF4+1)=7,BF4+3,BF4+1)</f>
        <v>44631</v>
      </c>
      <c r="BH4" s="21">
        <f t="shared" ref="BH4" si="427">IF(WEEKDAY(BG4+1)=7,BG4+3,BG4+1)</f>
        <v>44634</v>
      </c>
      <c r="BI4" s="21">
        <f t="shared" ref="BI4" si="428">IF(WEEKDAY(BH4+1)=7,BH4+3,BH4+1)</f>
        <v>44635</v>
      </c>
      <c r="BJ4" s="21">
        <f t="shared" ref="BJ4" si="429">IF(WEEKDAY(BI4+1)=7,BI4+3,BI4+1)</f>
        <v>44636</v>
      </c>
      <c r="BK4" s="21">
        <f t="shared" ref="BK4" si="430">IF(WEEKDAY(BJ4+1)=7,BJ4+3,BJ4+1)</f>
        <v>44637</v>
      </c>
      <c r="BL4" s="21">
        <f t="shared" ref="BL4" si="431">IF(WEEKDAY(BK4+1)=7,BK4+3,BK4+1)</f>
        <v>44638</v>
      </c>
      <c r="BM4" s="21">
        <f t="shared" ref="BM4" si="432">IF(WEEKDAY(BL4+1)=7,BL4+3,BL4+1)</f>
        <v>44641</v>
      </c>
      <c r="BN4" s="21">
        <f t="shared" ref="BN4" si="433">IF(WEEKDAY(BM4+1)=7,BM4+3,BM4+1)</f>
        <v>44642</v>
      </c>
      <c r="BO4" s="21">
        <f t="shared" ref="BO4" si="434">IF(WEEKDAY(BN4+1)=7,BN4+3,BN4+1)</f>
        <v>44643</v>
      </c>
      <c r="BP4" s="21">
        <f t="shared" ref="BP4" si="435">IF(WEEKDAY(BO4+1)=7,BO4+3,BO4+1)</f>
        <v>44644</v>
      </c>
      <c r="BQ4" s="21">
        <f t="shared" ref="BQ4" si="436">IF(WEEKDAY(BP4+1)=7,BP4+3,BP4+1)</f>
        <v>44645</v>
      </c>
      <c r="BR4" s="21">
        <f t="shared" ref="BR4" si="437">IF(WEEKDAY(BQ4+1)=7,BQ4+3,BQ4+1)</f>
        <v>44648</v>
      </c>
      <c r="BS4" s="21">
        <f t="shared" ref="BS4" si="438">IF(WEEKDAY(BR4+1)=7,BR4+3,BR4+1)</f>
        <v>44649</v>
      </c>
      <c r="BT4" s="21">
        <f t="shared" ref="BT4" si="439">IF(WEEKDAY(BS4+1)=7,BS4+3,BS4+1)</f>
        <v>44650</v>
      </c>
      <c r="BU4" s="21">
        <f t="shared" ref="BU4" si="440">IF(WEEKDAY(BT4+1)=7,BT4+3,BT4+1)</f>
        <v>44651</v>
      </c>
      <c r="BV4" s="21">
        <f t="shared" ref="BV4" si="441">IF(WEEKDAY(BU4+1)=7,BU4+3,BU4+1)</f>
        <v>44652</v>
      </c>
      <c r="BW4" s="21">
        <f t="shared" ref="BW4" si="442">IF(WEEKDAY(BV4+1)=7,BV4+3,BV4+1)</f>
        <v>44655</v>
      </c>
      <c r="BX4" s="21">
        <f t="shared" ref="BX4" si="443">IF(WEEKDAY(BW4+1)=7,BW4+3,BW4+1)</f>
        <v>44656</v>
      </c>
      <c r="BY4" s="21">
        <f t="shared" ref="BY4" si="444">IF(WEEKDAY(BX4+1)=7,BX4+3,BX4+1)</f>
        <v>44657</v>
      </c>
      <c r="BZ4" s="21">
        <f t="shared" ref="BZ4" si="445">IF(WEEKDAY(BY4+1)=7,BY4+3,BY4+1)</f>
        <v>44658</v>
      </c>
      <c r="CA4" s="21">
        <f t="shared" ref="CA4" si="446">IF(WEEKDAY(BZ4+1)=7,BZ4+3,BZ4+1)</f>
        <v>44659</v>
      </c>
      <c r="CB4" s="21">
        <f t="shared" ref="CB4" si="447">IF(WEEKDAY(CA4+1)=7,CA4+3,CA4+1)</f>
        <v>44662</v>
      </c>
      <c r="CC4" s="21">
        <f t="shared" ref="CC4" si="448">IF(WEEKDAY(CB4+1)=7,CB4+3,CB4+1)</f>
        <v>44663</v>
      </c>
      <c r="CD4" s="21">
        <f t="shared" ref="CD4" si="449">IF(WEEKDAY(CC4+1)=7,CC4+3,CC4+1)</f>
        <v>44664</v>
      </c>
      <c r="CE4" s="21">
        <f t="shared" ref="CE4:CF4" si="450">IF(WEEKDAY(CD4+1)=7,CD4+3,CD4+1)</f>
        <v>44665</v>
      </c>
      <c r="CF4" s="21">
        <f t="shared" si="450"/>
        <v>44666</v>
      </c>
      <c r="CG4" s="21">
        <f t="shared" ref="CG4" si="451">IF(WEEKDAY(CF4+1)=7,CF4+3,CF4+1)</f>
        <v>44669</v>
      </c>
      <c r="CH4" s="21">
        <f t="shared" ref="CH4" si="452">IF(WEEKDAY(CG4+1)=7,CG4+3,CG4+1)</f>
        <v>44670</v>
      </c>
      <c r="CI4" s="21">
        <f t="shared" ref="CI4" si="453">IF(WEEKDAY(CH4+1)=7,CH4+3,CH4+1)</f>
        <v>44671</v>
      </c>
      <c r="CJ4" s="21">
        <f t="shared" ref="CJ4" si="454">IF(WEEKDAY(CI4+1)=7,CI4+3,CI4+1)</f>
        <v>44672</v>
      </c>
      <c r="CK4" s="21">
        <f t="shared" ref="CK4" si="455">IF(WEEKDAY(CJ4+1)=7,CJ4+3,CJ4+1)</f>
        <v>44673</v>
      </c>
      <c r="CL4" s="21">
        <f t="shared" ref="CL4" si="456">IF(WEEKDAY(CK4+1)=7,CK4+3,CK4+1)</f>
        <v>44676</v>
      </c>
      <c r="CM4" s="21">
        <f t="shared" ref="CM4" si="457">IF(WEEKDAY(CL4+1)=7,CL4+3,CL4+1)</f>
        <v>44677</v>
      </c>
      <c r="CN4" s="21">
        <f t="shared" ref="CN4" si="458">IF(WEEKDAY(CM4+1)=7,CM4+3,CM4+1)</f>
        <v>44678</v>
      </c>
      <c r="CO4" s="21">
        <f t="shared" ref="CO4" si="459">IF(WEEKDAY(CN4+1)=7,CN4+3,CN4+1)</f>
        <v>44679</v>
      </c>
      <c r="CP4" s="21">
        <f t="shared" ref="CP4" si="460">IF(WEEKDAY(CO4+1)=7,CO4+3,CO4+1)</f>
        <v>44680</v>
      </c>
      <c r="CQ4" s="21">
        <f t="shared" ref="CQ4" si="461">IF(WEEKDAY(CP4+1)=7,CP4+3,CP4+1)</f>
        <v>44683</v>
      </c>
      <c r="CR4" s="21">
        <f t="shared" ref="CR4" si="462">IF(WEEKDAY(CQ4+1)=7,CQ4+3,CQ4+1)</f>
        <v>44684</v>
      </c>
      <c r="CS4" s="21">
        <f t="shared" ref="CS4" si="463">IF(WEEKDAY(CR4+1)=7,CR4+3,CR4+1)</f>
        <v>44685</v>
      </c>
      <c r="CT4" s="21">
        <f t="shared" ref="CT4" si="464">IF(WEEKDAY(CS4+1)=7,CS4+3,CS4+1)</f>
        <v>44686</v>
      </c>
      <c r="CU4" s="21">
        <f t="shared" ref="CU4" si="465">IF(WEEKDAY(CT4+1)=7,CT4+3,CT4+1)</f>
        <v>44687</v>
      </c>
      <c r="CV4" s="21">
        <f t="shared" ref="CV4" si="466">IF(WEEKDAY(CU4+1)=7,CU4+3,CU4+1)</f>
        <v>44690</v>
      </c>
      <c r="CW4" s="21">
        <f t="shared" ref="CW4" si="467">IF(WEEKDAY(CV4+1)=7,CV4+3,CV4+1)</f>
        <v>44691</v>
      </c>
      <c r="CX4" s="21">
        <f t="shared" ref="CX4" si="468">IF(WEEKDAY(CW4+1)=7,CW4+3,CW4+1)</f>
        <v>44692</v>
      </c>
      <c r="CY4" s="21">
        <f t="shared" ref="CY4" si="469">IF(WEEKDAY(CX4+1)=7,CX4+3,CX4+1)</f>
        <v>44693</v>
      </c>
      <c r="CZ4" s="21">
        <f t="shared" ref="CZ4" si="470">IF(WEEKDAY(CY4+1)=7,CY4+3,CY4+1)</f>
        <v>44694</v>
      </c>
      <c r="DA4" s="21">
        <f t="shared" ref="DA4" si="471">IF(WEEKDAY(CZ4+1)=7,CZ4+3,CZ4+1)</f>
        <v>44697</v>
      </c>
      <c r="DB4" s="21">
        <f t="shared" ref="DB4" si="472">IF(WEEKDAY(DA4+1)=7,DA4+3,DA4+1)</f>
        <v>44698</v>
      </c>
      <c r="DC4" s="21">
        <f t="shared" ref="DC4" si="473">IF(WEEKDAY(DB4+1)=7,DB4+3,DB4+1)</f>
        <v>44699</v>
      </c>
      <c r="DD4" s="21">
        <f t="shared" ref="DD4" si="474">IF(WEEKDAY(DC4+1)=7,DC4+3,DC4+1)</f>
        <v>44700</v>
      </c>
      <c r="DE4" s="21">
        <f t="shared" ref="DE4" si="475">IF(WEEKDAY(DD4+1)=7,DD4+3,DD4+1)</f>
        <v>44701</v>
      </c>
      <c r="DF4" s="21">
        <f t="shared" ref="DF4" si="476">IF(WEEKDAY(DE4+1)=7,DE4+3,DE4+1)</f>
        <v>44704</v>
      </c>
      <c r="DG4" s="21">
        <f t="shared" ref="DG4" si="477">IF(WEEKDAY(DF4+1)=7,DF4+3,DF4+1)</f>
        <v>44705</v>
      </c>
      <c r="DH4" s="21">
        <f t="shared" ref="DH4" si="478">IF(WEEKDAY(DG4+1)=7,DG4+3,DG4+1)</f>
        <v>44706</v>
      </c>
      <c r="DI4" s="21">
        <f t="shared" ref="DI4" si="479">IF(WEEKDAY(DH4+1)=7,DH4+3,DH4+1)</f>
        <v>44707</v>
      </c>
      <c r="DJ4" s="21">
        <f t="shared" ref="DJ4" si="480">IF(WEEKDAY(DI4+1)=7,DI4+3,DI4+1)</f>
        <v>44708</v>
      </c>
      <c r="DK4" s="21">
        <f t="shared" ref="DK4" si="481">IF(WEEKDAY(DJ4+1)=7,DJ4+3,DJ4+1)</f>
        <v>44711</v>
      </c>
      <c r="DL4" s="21">
        <f t="shared" ref="DL4" si="482">IF(WEEKDAY(DK4+1)=7,DK4+3,DK4+1)</f>
        <v>44712</v>
      </c>
      <c r="DM4" s="21">
        <f t="shared" ref="DM4" si="483">IF(WEEKDAY(DL4+1)=7,DL4+3,DL4+1)</f>
        <v>44713</v>
      </c>
      <c r="DN4" s="21">
        <f t="shared" ref="DN4" si="484">IF(WEEKDAY(DM4+1)=7,DM4+3,DM4+1)</f>
        <v>44714</v>
      </c>
      <c r="DO4" s="21">
        <f t="shared" ref="DO4" si="485">IF(WEEKDAY(DN4+1)=7,DN4+3,DN4+1)</f>
        <v>44715</v>
      </c>
      <c r="DP4" s="21">
        <f t="shared" ref="DP4" si="486">IF(WEEKDAY(DO4+1)=7,DO4+3,DO4+1)</f>
        <v>44718</v>
      </c>
      <c r="DQ4" s="21">
        <f t="shared" ref="DQ4" si="487">IF(WEEKDAY(DP4+1)=7,DP4+3,DP4+1)</f>
        <v>44719</v>
      </c>
      <c r="DR4" s="21">
        <f t="shared" ref="DR4" si="488">IF(WEEKDAY(DQ4+1)=7,DQ4+3,DQ4+1)</f>
        <v>44720</v>
      </c>
      <c r="DS4" s="21">
        <f t="shared" ref="DS4" si="489">IF(WEEKDAY(DR4+1)=7,DR4+3,DR4+1)</f>
        <v>44721</v>
      </c>
      <c r="DT4" s="21">
        <f t="shared" ref="DT4" si="490">IF(WEEKDAY(DS4+1)=7,DS4+3,DS4+1)</f>
        <v>44722</v>
      </c>
      <c r="DU4" s="21">
        <f t="shared" ref="DU4" si="491">IF(WEEKDAY(DT4+1)=7,DT4+3,DT4+1)</f>
        <v>44725</v>
      </c>
      <c r="DV4" s="21">
        <f t="shared" ref="DV4" si="492">IF(WEEKDAY(DU4+1)=7,DU4+3,DU4+1)</f>
        <v>44726</v>
      </c>
      <c r="DW4" s="21">
        <f t="shared" ref="DW4" si="493">IF(WEEKDAY(DV4+1)=7,DV4+3,DV4+1)</f>
        <v>44727</v>
      </c>
      <c r="DX4" s="21">
        <f t="shared" ref="DX4" si="494">IF(WEEKDAY(DW4+1)=7,DW4+3,DW4+1)</f>
        <v>44728</v>
      </c>
      <c r="DY4" s="21">
        <f t="shared" ref="DY4" si="495">IF(WEEKDAY(DX4+1)=7,DX4+3,DX4+1)</f>
        <v>44729</v>
      </c>
      <c r="DZ4" s="21">
        <f t="shared" ref="DZ4" si="496">IF(WEEKDAY(DY4+1)=7,DY4+3,DY4+1)</f>
        <v>44732</v>
      </c>
      <c r="EA4" s="21">
        <f t="shared" ref="EA4" si="497">IF(WEEKDAY(DZ4+1)=7,DZ4+3,DZ4+1)</f>
        <v>44733</v>
      </c>
      <c r="EB4" s="21">
        <f t="shared" ref="EB4" si="498">IF(WEEKDAY(EA4+1)=7,EA4+3,EA4+1)</f>
        <v>44734</v>
      </c>
      <c r="EC4" s="21">
        <f t="shared" ref="EC4" si="499">IF(WEEKDAY(EB4+1)=7,EB4+3,EB4+1)</f>
        <v>44735</v>
      </c>
      <c r="ED4" s="21">
        <f t="shared" ref="ED4" si="500">IF(WEEKDAY(EC4+1)=7,EC4+3,EC4+1)</f>
        <v>44736</v>
      </c>
      <c r="EE4" s="21">
        <f t="shared" ref="EE4" si="501">IF(WEEKDAY(ED4+1)=7,ED4+3,ED4+1)</f>
        <v>44739</v>
      </c>
      <c r="EF4" s="21">
        <f t="shared" ref="EF4" si="502">IF(WEEKDAY(EE4+1)=7,EE4+3,EE4+1)</f>
        <v>44740</v>
      </c>
      <c r="EG4" s="21">
        <f t="shared" ref="EG4" si="503">IF(WEEKDAY(EF4+1)=7,EF4+3,EF4+1)</f>
        <v>44741</v>
      </c>
      <c r="EH4" s="21">
        <f t="shared" ref="EH4" si="504">IF(WEEKDAY(EG4+1)=7,EG4+3,EG4+1)</f>
        <v>44742</v>
      </c>
      <c r="EI4" s="21">
        <f t="shared" ref="EI4" si="505">IF(WEEKDAY(EH4+1)=7,EH4+3,EH4+1)</f>
        <v>44743</v>
      </c>
      <c r="EJ4" s="21">
        <f t="shared" ref="EJ4" si="506">IF(WEEKDAY(EI4+1)=7,EI4+3,EI4+1)</f>
        <v>44746</v>
      </c>
      <c r="EK4" s="21">
        <f t="shared" ref="EK4" si="507">IF(WEEKDAY(EJ4+1)=7,EJ4+3,EJ4+1)</f>
        <v>44747</v>
      </c>
      <c r="EL4" s="21">
        <f t="shared" ref="EL4" si="508">IF(WEEKDAY(EK4+1)=7,EK4+3,EK4+1)</f>
        <v>44748</v>
      </c>
      <c r="EM4" s="21">
        <f t="shared" ref="EM4" si="509">IF(WEEKDAY(EL4+1)=7,EL4+3,EL4+1)</f>
        <v>44749</v>
      </c>
      <c r="EN4" s="21">
        <f t="shared" ref="EN4" si="510">IF(WEEKDAY(EM4+1)=7,EM4+3,EM4+1)</f>
        <v>44750</v>
      </c>
      <c r="EO4" s="21">
        <f t="shared" ref="EO4" si="511">IF(WEEKDAY(EN4+1)=7,EN4+3,EN4+1)</f>
        <v>44753</v>
      </c>
      <c r="EP4" s="21">
        <f t="shared" ref="EP4" si="512">IF(WEEKDAY(EO4+1)=7,EO4+3,EO4+1)</f>
        <v>44754</v>
      </c>
      <c r="EQ4" s="21">
        <f t="shared" ref="EQ4" si="513">IF(WEEKDAY(EP4+1)=7,EP4+3,EP4+1)</f>
        <v>44755</v>
      </c>
      <c r="ER4" s="21">
        <f t="shared" ref="ER4" si="514">IF(WEEKDAY(EQ4+1)=7,EQ4+3,EQ4+1)</f>
        <v>44756</v>
      </c>
      <c r="ES4" s="21">
        <f t="shared" ref="ES4" si="515">IF(WEEKDAY(ER4+1)=7,ER4+3,ER4+1)</f>
        <v>44757</v>
      </c>
      <c r="ET4" s="21">
        <f t="shared" ref="ET4" si="516">IF(WEEKDAY(ES4+1)=7,ES4+3,ES4+1)</f>
        <v>44760</v>
      </c>
      <c r="EU4" s="21">
        <f t="shared" ref="EU4" si="517">IF(WEEKDAY(ET4+1)=7,ET4+3,ET4+1)</f>
        <v>44761</v>
      </c>
      <c r="EV4" s="21">
        <f t="shared" ref="EV4" si="518">IF(WEEKDAY(EU4+1)=7,EU4+3,EU4+1)</f>
        <v>44762</v>
      </c>
      <c r="EW4" s="21">
        <f t="shared" ref="EW4" si="519">IF(WEEKDAY(EV4+1)=7,EV4+3,EV4+1)</f>
        <v>44763</v>
      </c>
      <c r="EX4" s="21">
        <f t="shared" ref="EX4" si="520">IF(WEEKDAY(EW4+1)=7,EW4+3,EW4+1)</f>
        <v>44764</v>
      </c>
      <c r="EY4" s="21">
        <f t="shared" ref="EY4" si="521">IF(WEEKDAY(EX4+1)=7,EX4+3,EX4+1)</f>
        <v>44767</v>
      </c>
      <c r="EZ4" s="21">
        <f t="shared" ref="EZ4" si="522">IF(WEEKDAY(EY4+1)=7,EY4+3,EY4+1)</f>
        <v>44768</v>
      </c>
      <c r="FA4" s="21">
        <f t="shared" ref="FA4" si="523">IF(WEEKDAY(EZ4+1)=7,EZ4+3,EZ4+1)</f>
        <v>44769</v>
      </c>
      <c r="FB4" s="21">
        <f t="shared" ref="FB4" si="524">IF(WEEKDAY(FA4+1)=7,FA4+3,FA4+1)</f>
        <v>44770</v>
      </c>
      <c r="FC4" s="21">
        <f t="shared" ref="FC4" si="525">IF(WEEKDAY(FB4+1)=7,FB4+3,FB4+1)</f>
        <v>44771</v>
      </c>
      <c r="FD4" s="21">
        <f t="shared" ref="FD4" si="526">IF(WEEKDAY(FC4+1)=7,FC4+3,FC4+1)</f>
        <v>44774</v>
      </c>
      <c r="FE4" s="21">
        <f t="shared" ref="FE4" si="527">IF(WEEKDAY(FD4+1)=7,FD4+3,FD4+1)</f>
        <v>44775</v>
      </c>
      <c r="FF4" s="21">
        <f t="shared" ref="FF4" si="528">IF(WEEKDAY(FE4+1)=7,FE4+3,FE4+1)</f>
        <v>44776</v>
      </c>
      <c r="FG4" s="21">
        <f t="shared" ref="FG4" si="529">IF(WEEKDAY(FF4+1)=7,FF4+3,FF4+1)</f>
        <v>44777</v>
      </c>
      <c r="FH4" s="21">
        <f t="shared" ref="FH4" si="530">IF(WEEKDAY(FG4+1)=7,FG4+3,FG4+1)</f>
        <v>44778</v>
      </c>
      <c r="FI4" s="21">
        <f t="shared" ref="FI4" si="531">IF(WEEKDAY(FH4+1)=7,FH4+3,FH4+1)</f>
        <v>44781</v>
      </c>
      <c r="FJ4" s="21">
        <f t="shared" ref="FJ4" si="532">IF(WEEKDAY(FI4+1)=7,FI4+3,FI4+1)</f>
        <v>44782</v>
      </c>
      <c r="FK4" s="21">
        <f t="shared" ref="FK4" si="533">IF(WEEKDAY(FJ4+1)=7,FJ4+3,FJ4+1)</f>
        <v>44783</v>
      </c>
      <c r="FL4" s="21">
        <f t="shared" ref="FL4" si="534">IF(WEEKDAY(FK4+1)=7,FK4+3,FK4+1)</f>
        <v>44784</v>
      </c>
      <c r="FM4" s="21">
        <f t="shared" ref="FM4" si="535">IF(WEEKDAY(FL4+1)=7,FL4+3,FL4+1)</f>
        <v>44785</v>
      </c>
      <c r="FN4" s="21">
        <f t="shared" ref="FN4" si="536">IF(WEEKDAY(FM4+1)=7,FM4+3,FM4+1)</f>
        <v>44788</v>
      </c>
      <c r="FO4" s="21">
        <f t="shared" ref="FO4" si="537">IF(WEEKDAY(FN4+1)=7,FN4+3,FN4+1)</f>
        <v>44789</v>
      </c>
      <c r="FP4" s="21">
        <f t="shared" ref="FP4" si="538">IF(WEEKDAY(FO4+1)=7,FO4+3,FO4+1)</f>
        <v>44790</v>
      </c>
      <c r="FQ4" s="21">
        <f t="shared" ref="FQ4" si="539">IF(WEEKDAY(FP4+1)=7,FP4+3,FP4+1)</f>
        <v>44791</v>
      </c>
      <c r="FR4" s="21">
        <f t="shared" ref="FR4" si="540">IF(WEEKDAY(FQ4+1)=7,FQ4+3,FQ4+1)</f>
        <v>44792</v>
      </c>
      <c r="FS4" s="21">
        <f t="shared" ref="FS4" si="541">IF(WEEKDAY(FR4+1)=7,FR4+3,FR4+1)</f>
        <v>44795</v>
      </c>
      <c r="FT4" s="21">
        <f t="shared" ref="FT4" si="542">IF(WEEKDAY(FS4+1)=7,FS4+3,FS4+1)</f>
        <v>44796</v>
      </c>
      <c r="FU4" s="21">
        <f t="shared" ref="FU4" si="543">IF(WEEKDAY(FT4+1)=7,FT4+3,FT4+1)</f>
        <v>44797</v>
      </c>
      <c r="FV4" s="21">
        <f t="shared" ref="FV4" si="544">IF(WEEKDAY(FU4+1)=7,FU4+3,FU4+1)</f>
        <v>44798</v>
      </c>
      <c r="FW4" s="21">
        <f t="shared" ref="FW4" si="545">IF(WEEKDAY(FV4+1)=7,FV4+3,FV4+1)</f>
        <v>44799</v>
      </c>
      <c r="FX4" s="21">
        <f t="shared" ref="FX4" si="546">IF(WEEKDAY(FW4+1)=7,FW4+3,FW4+1)</f>
        <v>44802</v>
      </c>
      <c r="FY4" s="21">
        <f t="shared" ref="FY4" si="547">IF(WEEKDAY(FX4+1)=7,FX4+3,FX4+1)</f>
        <v>44803</v>
      </c>
      <c r="FZ4" s="21">
        <f t="shared" ref="FZ4" si="548">IF(WEEKDAY(FY4+1)=7,FY4+3,FY4+1)</f>
        <v>44804</v>
      </c>
      <c r="GA4" s="21">
        <f t="shared" ref="GA4" si="549">IF(WEEKDAY(FZ4+1)=7,FZ4+3,FZ4+1)</f>
        <v>44805</v>
      </c>
      <c r="GB4" s="21">
        <f t="shared" ref="GB4" si="550">IF(WEEKDAY(GA4+1)=7,GA4+3,GA4+1)</f>
        <v>44806</v>
      </c>
      <c r="GC4" s="21">
        <f t="shared" ref="GC4" si="551">IF(WEEKDAY(GB4+1)=7,GB4+3,GB4+1)</f>
        <v>44809</v>
      </c>
      <c r="GD4" s="21">
        <f t="shared" ref="GD4" si="552">IF(WEEKDAY(GC4+1)=7,GC4+3,GC4+1)</f>
        <v>44810</v>
      </c>
      <c r="GE4" s="21">
        <f t="shared" ref="GE4" si="553">IF(WEEKDAY(GD4+1)=7,GD4+3,GD4+1)</f>
        <v>44811</v>
      </c>
      <c r="GF4" s="21">
        <f t="shared" ref="GF4" si="554">IF(WEEKDAY(GE4+1)=7,GE4+3,GE4+1)</f>
        <v>44812</v>
      </c>
      <c r="GG4" s="21">
        <f t="shared" ref="GG4" si="555">IF(WEEKDAY(GF4+1)=7,GF4+3,GF4+1)</f>
        <v>44813</v>
      </c>
      <c r="GH4" s="21">
        <f t="shared" ref="GH4" si="556">IF(WEEKDAY(GG4+1)=7,GG4+3,GG4+1)</f>
        <v>44816</v>
      </c>
      <c r="GI4" s="21">
        <f t="shared" ref="GI4" si="557">IF(WEEKDAY(GH4+1)=7,GH4+3,GH4+1)</f>
        <v>44817</v>
      </c>
      <c r="GJ4" s="21">
        <f t="shared" ref="GJ4" si="558">IF(WEEKDAY(GI4+1)=7,GI4+3,GI4+1)</f>
        <v>44818</v>
      </c>
      <c r="GK4" s="21">
        <f t="shared" ref="GK4" si="559">IF(WEEKDAY(GJ4+1)=7,GJ4+3,GJ4+1)</f>
        <v>44819</v>
      </c>
      <c r="GL4" s="21">
        <f t="shared" ref="GL4" si="560">IF(WEEKDAY(GK4+1)=7,GK4+3,GK4+1)</f>
        <v>44820</v>
      </c>
      <c r="GM4" s="21">
        <f t="shared" ref="GM4" si="561">IF(WEEKDAY(GL4+1)=7,GL4+3,GL4+1)</f>
        <v>44823</v>
      </c>
      <c r="GN4" s="21">
        <f t="shared" ref="GN4" si="562">IF(WEEKDAY(GM4+1)=7,GM4+3,GM4+1)</f>
        <v>44824</v>
      </c>
      <c r="GO4" s="21">
        <f t="shared" ref="GO4" si="563">IF(WEEKDAY(GN4+1)=7,GN4+3,GN4+1)</f>
        <v>44825</v>
      </c>
      <c r="GP4" s="21">
        <f t="shared" ref="GP4" si="564">IF(WEEKDAY(GO4+1)=7,GO4+3,GO4+1)</f>
        <v>44826</v>
      </c>
      <c r="GQ4" s="21">
        <f t="shared" ref="GQ4" si="565">IF(WEEKDAY(GP4+1)=7,GP4+3,GP4+1)</f>
        <v>44827</v>
      </c>
      <c r="GR4" s="21">
        <f t="shared" ref="GR4" si="566">IF(WEEKDAY(GQ4+1)=7,GQ4+3,GQ4+1)</f>
        <v>44830</v>
      </c>
      <c r="GS4" s="21">
        <f t="shared" ref="GS4" si="567">IF(WEEKDAY(GR4+1)=7,GR4+3,GR4+1)</f>
        <v>44831</v>
      </c>
      <c r="GT4" s="21">
        <f t="shared" ref="GT4" si="568">IF(WEEKDAY(GS4+1)=7,GS4+3,GS4+1)</f>
        <v>44832</v>
      </c>
      <c r="GU4" s="21">
        <f t="shared" ref="GU4" si="569">IF(WEEKDAY(GT4+1)=7,GT4+3,GT4+1)</f>
        <v>44833</v>
      </c>
      <c r="GV4" s="21">
        <f t="shared" ref="GV4" si="570">IF(WEEKDAY(GU4+1)=7,GU4+3,GU4+1)</f>
        <v>44834</v>
      </c>
      <c r="GW4" s="21">
        <f t="shared" ref="GW4" si="571">IF(WEEKDAY(GV4+1)=7,GV4+3,GV4+1)</f>
        <v>44837</v>
      </c>
      <c r="GX4" s="21">
        <f t="shared" ref="GX4" si="572">IF(WEEKDAY(GW4+1)=7,GW4+3,GW4+1)</f>
        <v>44838</v>
      </c>
      <c r="GY4" s="21">
        <f t="shared" ref="GY4" si="573">IF(WEEKDAY(GX4+1)=7,GX4+3,GX4+1)</f>
        <v>44839</v>
      </c>
      <c r="GZ4" s="21">
        <f t="shared" ref="GZ4" si="574">IF(WEEKDAY(GY4+1)=7,GY4+3,GY4+1)</f>
        <v>44840</v>
      </c>
      <c r="HA4" s="21">
        <f t="shared" ref="HA4" si="575">IF(WEEKDAY(GZ4+1)=7,GZ4+3,GZ4+1)</f>
        <v>44841</v>
      </c>
      <c r="HB4" s="21">
        <f t="shared" ref="HB4" si="576">IF(WEEKDAY(HA4+1)=7,HA4+3,HA4+1)</f>
        <v>44844</v>
      </c>
      <c r="HC4" s="21">
        <f t="shared" ref="HC4" si="577">IF(WEEKDAY(HB4+1)=7,HB4+3,HB4+1)</f>
        <v>44845</v>
      </c>
      <c r="HD4" s="21">
        <f t="shared" ref="HD4" si="578">IF(WEEKDAY(HC4+1)=7,HC4+3,HC4+1)</f>
        <v>44846</v>
      </c>
      <c r="HE4" s="21">
        <f t="shared" ref="HE4" si="579">IF(WEEKDAY(HD4+1)=7,HD4+3,HD4+1)</f>
        <v>44847</v>
      </c>
      <c r="HF4" s="21">
        <f t="shared" ref="HF4" si="580">IF(WEEKDAY(HE4+1)=7,HE4+3,HE4+1)</f>
        <v>44848</v>
      </c>
      <c r="HG4" s="21">
        <f t="shared" ref="HG4" si="581">IF(WEEKDAY(HF4+1)=7,HF4+3,HF4+1)</f>
        <v>44851</v>
      </c>
      <c r="HH4" s="21">
        <f t="shared" ref="HH4" si="582">IF(WEEKDAY(HG4+1)=7,HG4+3,HG4+1)</f>
        <v>44852</v>
      </c>
      <c r="HI4" s="21">
        <f t="shared" ref="HI4" si="583">IF(WEEKDAY(HH4+1)=7,HH4+3,HH4+1)</f>
        <v>44853</v>
      </c>
      <c r="HJ4" s="21">
        <f t="shared" ref="HJ4" si="584">IF(WEEKDAY(HI4+1)=7,HI4+3,HI4+1)</f>
        <v>44854</v>
      </c>
      <c r="HK4" s="21">
        <f t="shared" ref="HK4" si="585">IF(WEEKDAY(HJ4+1)=7,HJ4+3,HJ4+1)</f>
        <v>44855</v>
      </c>
      <c r="HL4" s="21">
        <f t="shared" ref="HL4" si="586">IF(WEEKDAY(HK4+1)=7,HK4+3,HK4+1)</f>
        <v>44858</v>
      </c>
      <c r="HM4" s="21">
        <f t="shared" ref="HM4" si="587">IF(WEEKDAY(HL4+1)=7,HL4+3,HL4+1)</f>
        <v>44859</v>
      </c>
      <c r="HN4" s="21">
        <f t="shared" ref="HN4" si="588">IF(WEEKDAY(HM4+1)=7,HM4+3,HM4+1)</f>
        <v>44860</v>
      </c>
      <c r="HO4" s="21">
        <f t="shared" ref="HO4" si="589">IF(WEEKDAY(HN4+1)=7,HN4+3,HN4+1)</f>
        <v>44861</v>
      </c>
      <c r="HP4" s="21">
        <f t="shared" ref="HP4" si="590">IF(WEEKDAY(HO4+1)=7,HO4+3,HO4+1)</f>
        <v>44862</v>
      </c>
      <c r="HQ4" s="21">
        <f t="shared" ref="HQ4" si="591">IF(WEEKDAY(HP4+1)=7,HP4+3,HP4+1)</f>
        <v>44865</v>
      </c>
      <c r="HR4" s="21">
        <f t="shared" ref="HR4" si="592">IF(WEEKDAY(HQ4+1)=7,HQ4+3,HQ4+1)</f>
        <v>44866</v>
      </c>
      <c r="HS4" s="21">
        <f t="shared" ref="HS4" si="593">IF(WEEKDAY(HR4+1)=7,HR4+3,HR4+1)</f>
        <v>44867</v>
      </c>
      <c r="HT4" s="21">
        <f t="shared" ref="HT4" si="594">IF(WEEKDAY(HS4+1)=7,HS4+3,HS4+1)</f>
        <v>44868</v>
      </c>
      <c r="HU4" s="21">
        <f t="shared" ref="HU4" si="595">IF(WEEKDAY(HT4+1)=7,HT4+3,HT4+1)</f>
        <v>44869</v>
      </c>
      <c r="HV4" s="21">
        <f t="shared" ref="HV4" si="596">IF(WEEKDAY(HU4+1)=7,HU4+3,HU4+1)</f>
        <v>44872</v>
      </c>
      <c r="HW4" s="21">
        <f t="shared" ref="HW4" si="597">IF(WEEKDAY(HV4+1)=7,HV4+3,HV4+1)</f>
        <v>44873</v>
      </c>
      <c r="HX4" s="21">
        <f t="shared" ref="HX4" si="598">IF(WEEKDAY(HW4+1)=7,HW4+3,HW4+1)</f>
        <v>44874</v>
      </c>
      <c r="HY4" s="21">
        <f t="shared" ref="HY4" si="599">IF(WEEKDAY(HX4+1)=7,HX4+3,HX4+1)</f>
        <v>44875</v>
      </c>
      <c r="HZ4" s="21">
        <f t="shared" ref="HZ4" si="600">IF(WEEKDAY(HY4+1)=7,HY4+3,HY4+1)</f>
        <v>44876</v>
      </c>
      <c r="IA4" s="21">
        <f t="shared" ref="IA4" si="601">IF(WEEKDAY(HZ4+1)=7,HZ4+3,HZ4+1)</f>
        <v>44879</v>
      </c>
      <c r="IB4" s="21">
        <f t="shared" ref="IB4" si="602">IF(WEEKDAY(IA4+1)=7,IA4+3,IA4+1)</f>
        <v>44880</v>
      </c>
      <c r="IC4" s="21">
        <f t="shared" ref="IC4" si="603">IF(WEEKDAY(IB4+1)=7,IB4+3,IB4+1)</f>
        <v>44881</v>
      </c>
      <c r="ID4" s="21">
        <f t="shared" ref="ID4" si="604">IF(WEEKDAY(IC4+1)=7,IC4+3,IC4+1)</f>
        <v>44882</v>
      </c>
      <c r="IE4" s="21">
        <f t="shared" ref="IE4" si="605">IF(WEEKDAY(ID4+1)=7,ID4+3,ID4+1)</f>
        <v>44883</v>
      </c>
      <c r="IF4" s="21">
        <f t="shared" ref="IF4" si="606">IF(WEEKDAY(IE4+1)=7,IE4+3,IE4+1)</f>
        <v>44886</v>
      </c>
      <c r="IG4" s="21">
        <f t="shared" ref="IG4" si="607">IF(WEEKDAY(IF4+1)=7,IF4+3,IF4+1)</f>
        <v>44887</v>
      </c>
      <c r="IH4" s="21">
        <f t="shared" ref="IH4" si="608">IF(WEEKDAY(IG4+1)=7,IG4+3,IG4+1)</f>
        <v>44888</v>
      </c>
      <c r="II4" s="21">
        <f t="shared" ref="II4" si="609">IF(WEEKDAY(IH4+1)=7,IH4+3,IH4+1)</f>
        <v>44889</v>
      </c>
      <c r="IJ4" s="21">
        <f t="shared" ref="IJ4" si="610">IF(WEEKDAY(II4+1)=7,II4+3,II4+1)</f>
        <v>44890</v>
      </c>
      <c r="IK4" s="21">
        <f t="shared" ref="IK4" si="611">IF(WEEKDAY(IJ4+1)=7,IJ4+3,IJ4+1)</f>
        <v>44893</v>
      </c>
      <c r="IL4" s="21">
        <f t="shared" ref="IL4" si="612">IF(WEEKDAY(IK4+1)=7,IK4+3,IK4+1)</f>
        <v>44894</v>
      </c>
      <c r="IM4" s="21">
        <f t="shared" ref="IM4" si="613">IF(WEEKDAY(IL4+1)=7,IL4+3,IL4+1)</f>
        <v>44895</v>
      </c>
      <c r="IN4" s="21">
        <f t="shared" ref="IN4" si="614">IF(WEEKDAY(IM4+1)=7,IM4+3,IM4+1)</f>
        <v>44896</v>
      </c>
      <c r="IO4" s="21">
        <f t="shared" ref="IO4" si="615">IF(WEEKDAY(IN4+1)=7,IN4+3,IN4+1)</f>
        <v>44897</v>
      </c>
      <c r="IP4" s="21">
        <f t="shared" ref="IP4" si="616">IF(WEEKDAY(IO4+1)=7,IO4+3,IO4+1)</f>
        <v>44900</v>
      </c>
      <c r="IQ4" s="21">
        <f t="shared" ref="IQ4" si="617">IF(WEEKDAY(IP4+1)=7,IP4+3,IP4+1)</f>
        <v>44901</v>
      </c>
      <c r="IR4" s="21">
        <f t="shared" ref="IR4" si="618">IF(WEEKDAY(IQ4+1)=7,IQ4+3,IQ4+1)</f>
        <v>44902</v>
      </c>
      <c r="IS4" s="21">
        <f t="shared" ref="IS4" si="619">IF(WEEKDAY(IR4+1)=7,IR4+3,IR4+1)</f>
        <v>44903</v>
      </c>
      <c r="IT4" s="21">
        <f t="shared" ref="IT4" si="620">IF(WEEKDAY(IS4+1)=7,IS4+3,IS4+1)</f>
        <v>44904</v>
      </c>
      <c r="IU4" s="21">
        <f t="shared" ref="IU4" si="621">IF(WEEKDAY(IT4+1)=7,IT4+3,IT4+1)</f>
        <v>44907</v>
      </c>
      <c r="IV4" s="21">
        <f t="shared" ref="IV4" si="622">IF(WEEKDAY(IU4+1)=7,IU4+3,IU4+1)</f>
        <v>44908</v>
      </c>
      <c r="IW4" s="21">
        <f t="shared" ref="IW4" si="623">IF(WEEKDAY(IV4+1)=7,IV4+3,IV4+1)</f>
        <v>44909</v>
      </c>
      <c r="IX4" s="21">
        <f t="shared" ref="IX4" si="624">IF(WEEKDAY(IW4+1)=7,IW4+3,IW4+1)</f>
        <v>44910</v>
      </c>
      <c r="IY4" s="21">
        <f t="shared" ref="IY4" si="625">IF(WEEKDAY(IX4+1)=7,IX4+3,IX4+1)</f>
        <v>44911</v>
      </c>
      <c r="IZ4" s="21">
        <f t="shared" ref="IZ4" si="626">IF(WEEKDAY(IY4+1)=7,IY4+3,IY4+1)</f>
        <v>44914</v>
      </c>
      <c r="JA4" s="21">
        <f t="shared" ref="JA4" si="627">IF(WEEKDAY(IZ4+1)=7,IZ4+3,IZ4+1)</f>
        <v>44915</v>
      </c>
      <c r="JB4" s="21">
        <f t="shared" ref="JB4" si="628">IF(WEEKDAY(JA4+1)=7,JA4+3,JA4+1)</f>
        <v>44916</v>
      </c>
      <c r="JC4" s="21">
        <f t="shared" ref="JC4" si="629">IF(WEEKDAY(JB4+1)=7,JB4+3,JB4+1)</f>
        <v>44917</v>
      </c>
      <c r="JD4" s="21">
        <f t="shared" ref="JD4" si="630">IF(WEEKDAY(JC4+1)=7,JC4+3,JC4+1)</f>
        <v>44918</v>
      </c>
      <c r="JE4" s="21">
        <f t="shared" ref="JE4" si="631">IF(WEEKDAY(JD4+1)=7,JD4+3,JD4+1)</f>
        <v>44921</v>
      </c>
      <c r="JF4" s="21">
        <f t="shared" ref="JF4" si="632">IF(WEEKDAY(JE4+1)=7,JE4+3,JE4+1)</f>
        <v>44922</v>
      </c>
      <c r="JG4" s="21">
        <f t="shared" ref="JG4" si="633">IF(WEEKDAY(JF4+1)=7,JF4+3,JF4+1)</f>
        <v>44923</v>
      </c>
      <c r="JH4" s="21">
        <f t="shared" ref="JH4" si="634">IF(WEEKDAY(JG4+1)=7,JG4+3,JG4+1)</f>
        <v>44924</v>
      </c>
      <c r="JI4" s="21">
        <f t="shared" ref="JI4" si="635">IF(WEEKDAY(JH4+1)=7,JH4+3,JH4+1)</f>
        <v>44925</v>
      </c>
    </row>
    <row r="5" spans="2:269" ht="18" customHeight="1">
      <c r="C5" s="8" t="s">
        <v>8</v>
      </c>
      <c r="D5" s="11"/>
      <c r="E5" s="31" t="s">
        <v>9</v>
      </c>
      <c r="F5" s="12"/>
      <c r="G5" s="12"/>
      <c r="H5" s="29">
        <f>MIN(H6:H25)</f>
        <v>44564</v>
      </c>
      <c r="I5" s="30">
        <f>MAX(I6:I25)</f>
        <v>44592</v>
      </c>
      <c r="J5" s="27"/>
      <c r="K5" s="27"/>
      <c r="L5" s="27"/>
      <c r="M5" s="27"/>
      <c r="N5" s="27"/>
      <c r="O5" s="27"/>
      <c r="P5" s="27"/>
      <c r="Q5" s="27"/>
      <c r="R5" s="27"/>
      <c r="S5" s="28"/>
      <c r="T5" s="28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</row>
    <row r="6" spans="2:269" ht="18" customHeight="1" outlineLevel="1">
      <c r="C6" s="5"/>
      <c r="D6" s="26" t="s">
        <v>10</v>
      </c>
      <c r="E6" s="6" t="s">
        <v>11</v>
      </c>
      <c r="F6" s="6"/>
      <c r="G6" s="6"/>
      <c r="H6" s="9">
        <v>44564</v>
      </c>
      <c r="I6" s="10">
        <v>44592</v>
      </c>
      <c r="J6" s="27"/>
      <c r="K6" s="27"/>
      <c r="L6" s="27"/>
      <c r="M6" s="27"/>
      <c r="N6" s="27"/>
      <c r="O6" s="27"/>
      <c r="P6" s="27"/>
      <c r="Q6" s="27"/>
      <c r="R6" s="27"/>
      <c r="S6" s="28"/>
      <c r="T6" s="28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</row>
    <row r="7" spans="2:269" ht="18" customHeight="1" outlineLevel="1">
      <c r="C7" s="5"/>
      <c r="D7" s="26" t="s">
        <v>10</v>
      </c>
      <c r="E7" s="6" t="s">
        <v>12</v>
      </c>
      <c r="F7" s="6"/>
      <c r="G7" s="6"/>
      <c r="H7" s="9">
        <v>44568</v>
      </c>
      <c r="I7" s="10">
        <v>44572</v>
      </c>
      <c r="J7" s="27"/>
      <c r="K7" s="27"/>
      <c r="L7" s="27"/>
      <c r="M7" s="27"/>
      <c r="N7" s="27"/>
      <c r="O7" s="27"/>
      <c r="P7" s="27"/>
      <c r="Q7" s="27"/>
      <c r="R7" s="27"/>
      <c r="S7" s="28"/>
      <c r="T7" s="28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</row>
    <row r="8" spans="2:269" ht="18" customHeight="1" outlineLevel="1">
      <c r="C8" s="5"/>
      <c r="D8" s="26" t="s">
        <v>10</v>
      </c>
      <c r="E8" s="6" t="s">
        <v>9</v>
      </c>
      <c r="F8" s="6"/>
      <c r="G8" s="6"/>
      <c r="H8" s="9">
        <v>44573</v>
      </c>
      <c r="I8" s="10">
        <v>44578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</row>
    <row r="9" spans="2:269" ht="18" customHeight="1" outlineLevel="1">
      <c r="C9" s="5"/>
      <c r="D9" s="26" t="s">
        <v>10</v>
      </c>
      <c r="E9" s="6"/>
      <c r="F9" s="6"/>
      <c r="G9" s="6"/>
      <c r="H9" s="9"/>
      <c r="I9" s="10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</row>
    <row r="10" spans="2:269" ht="18" customHeight="1" outlineLevel="1">
      <c r="C10" s="5"/>
      <c r="D10" s="26" t="s">
        <v>10</v>
      </c>
      <c r="E10" s="6"/>
      <c r="F10" s="6"/>
      <c r="G10" s="6"/>
      <c r="H10" s="9"/>
      <c r="I10" s="10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</row>
    <row r="11" spans="2:269" ht="18" customHeight="1" outlineLevel="1">
      <c r="C11" s="5"/>
      <c r="D11" s="26" t="s">
        <v>10</v>
      </c>
      <c r="E11" s="6"/>
      <c r="F11" s="6"/>
      <c r="G11" s="6"/>
      <c r="H11" s="9"/>
      <c r="I11" s="10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</row>
    <row r="12" spans="2:269" ht="18" customHeight="1" outlineLevel="1">
      <c r="C12" s="5"/>
      <c r="D12" s="26" t="s">
        <v>10</v>
      </c>
      <c r="E12" s="6"/>
      <c r="F12" s="6"/>
      <c r="G12" s="6"/>
      <c r="H12" s="9"/>
      <c r="I12" s="10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</row>
    <row r="13" spans="2:269" ht="18" customHeight="1" outlineLevel="1">
      <c r="C13" s="5"/>
      <c r="D13" s="26" t="s">
        <v>10</v>
      </c>
      <c r="E13" s="6"/>
      <c r="F13" s="6"/>
      <c r="G13" s="6"/>
      <c r="H13" s="9"/>
      <c r="I13" s="10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</row>
    <row r="14" spans="2:269" ht="18" customHeight="1" outlineLevel="1">
      <c r="C14" s="5"/>
      <c r="D14" s="26" t="s">
        <v>10</v>
      </c>
      <c r="E14" s="6"/>
      <c r="F14" s="6"/>
      <c r="G14" s="6"/>
      <c r="H14" s="9"/>
      <c r="I14" s="10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</row>
    <row r="15" spans="2:269" ht="18" customHeight="1" outlineLevel="1">
      <c r="C15" s="5"/>
      <c r="D15" s="26" t="s">
        <v>10</v>
      </c>
      <c r="E15" s="6"/>
      <c r="F15" s="6"/>
      <c r="G15" s="6"/>
      <c r="H15" s="9"/>
      <c r="I15" s="10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</row>
    <row r="16" spans="2:269" ht="18" customHeight="1" outlineLevel="1">
      <c r="C16" s="5"/>
      <c r="D16" s="26" t="s">
        <v>10</v>
      </c>
      <c r="E16" s="6"/>
      <c r="F16" s="6"/>
      <c r="G16" s="6"/>
      <c r="H16" s="9"/>
      <c r="I16" s="10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</row>
    <row r="17" spans="3:269" ht="18" customHeight="1" outlineLevel="1">
      <c r="C17" s="5"/>
      <c r="D17" s="26" t="s">
        <v>10</v>
      </c>
      <c r="E17" s="6"/>
      <c r="F17" s="6"/>
      <c r="G17" s="6"/>
      <c r="H17" s="9"/>
      <c r="I17" s="10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</row>
    <row r="18" spans="3:269" ht="18" customHeight="1" outlineLevel="1">
      <c r="C18" s="5"/>
      <c r="D18" s="26" t="s">
        <v>10</v>
      </c>
      <c r="E18" s="6"/>
      <c r="F18" s="6"/>
      <c r="G18" s="6"/>
      <c r="H18" s="9"/>
      <c r="I18" s="10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</row>
    <row r="19" spans="3:269" ht="18" customHeight="1" outlineLevel="1">
      <c r="C19" s="5"/>
      <c r="D19" s="26" t="s">
        <v>10</v>
      </c>
      <c r="E19" s="6"/>
      <c r="F19" s="6"/>
      <c r="G19" s="6"/>
      <c r="H19" s="9"/>
      <c r="I19" s="10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</row>
    <row r="20" spans="3:269" ht="18" customHeight="1" outlineLevel="1">
      <c r="C20" s="5"/>
      <c r="D20" s="26" t="s">
        <v>10</v>
      </c>
      <c r="E20" s="6"/>
      <c r="F20" s="6"/>
      <c r="G20" s="6"/>
      <c r="H20" s="9"/>
      <c r="I20" s="10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</row>
    <row r="21" spans="3:269" ht="18" customHeight="1" outlineLevel="1">
      <c r="C21" s="5"/>
      <c r="D21" s="26" t="s">
        <v>10</v>
      </c>
      <c r="E21" s="6"/>
      <c r="F21" s="6"/>
      <c r="G21" s="6"/>
      <c r="H21" s="9"/>
      <c r="I21" s="10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</row>
    <row r="22" spans="3:269" ht="18" customHeight="1" outlineLevel="1">
      <c r="C22" s="5"/>
      <c r="D22" s="26" t="s">
        <v>10</v>
      </c>
      <c r="E22" s="6"/>
      <c r="F22" s="6"/>
      <c r="G22" s="6"/>
      <c r="H22" s="9"/>
      <c r="I22" s="10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</row>
    <row r="23" spans="3:269" ht="18" customHeight="1" outlineLevel="1">
      <c r="C23" s="5"/>
      <c r="D23" s="26" t="s">
        <v>10</v>
      </c>
      <c r="E23" s="6"/>
      <c r="F23" s="6"/>
      <c r="G23" s="6"/>
      <c r="H23" s="9"/>
      <c r="I23" s="10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</row>
    <row r="24" spans="3:269" ht="18" customHeight="1" outlineLevel="1">
      <c r="C24" s="5"/>
      <c r="D24" s="26" t="s">
        <v>10</v>
      </c>
      <c r="E24" s="6"/>
      <c r="F24" s="6"/>
      <c r="G24" s="6"/>
      <c r="H24" s="9"/>
      <c r="I24" s="10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</row>
    <row r="25" spans="3:269" ht="18" customHeight="1" outlineLevel="1">
      <c r="C25" s="5"/>
      <c r="D25" s="26" t="s">
        <v>10</v>
      </c>
      <c r="E25" s="6"/>
      <c r="F25" s="6"/>
      <c r="G25" s="6"/>
      <c r="H25" s="9"/>
      <c r="I25" s="10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</row>
    <row r="26" spans="3:269" ht="18" customHeight="1">
      <c r="C26" s="8" t="s">
        <v>13</v>
      </c>
      <c r="D26" s="11"/>
      <c r="E26" s="31"/>
      <c r="F26" s="12"/>
      <c r="G26" s="12"/>
      <c r="H26" s="29">
        <f>MIN(H27:H46)</f>
        <v>44571</v>
      </c>
      <c r="I26" s="30">
        <f>MAX(I27:I46)</f>
        <v>44574</v>
      </c>
      <c r="J26" s="27"/>
      <c r="K26" s="27"/>
      <c r="L26" s="27"/>
      <c r="M26" s="27"/>
      <c r="N26" s="27"/>
      <c r="O26" s="27"/>
      <c r="P26" s="27"/>
      <c r="Q26" s="27"/>
      <c r="R26" s="27"/>
      <c r="S26" s="28"/>
      <c r="T26" s="28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</row>
    <row r="27" spans="3:269" ht="18" hidden="1" customHeight="1" outlineLevel="1">
      <c r="C27" s="5"/>
      <c r="D27" s="26" t="s">
        <v>10</v>
      </c>
      <c r="E27" s="6"/>
      <c r="F27" s="6"/>
      <c r="G27" s="6"/>
      <c r="H27" s="9"/>
      <c r="I27" s="10"/>
      <c r="J27" s="27"/>
      <c r="K27" s="27"/>
      <c r="L27" s="27"/>
      <c r="M27" s="27"/>
      <c r="N27" s="27"/>
      <c r="O27" s="27"/>
      <c r="P27" s="27"/>
      <c r="Q27" s="27"/>
      <c r="R27" s="27"/>
      <c r="S27" s="28"/>
      <c r="T27" s="28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</row>
    <row r="28" spans="3:269" ht="18" hidden="1" customHeight="1" outlineLevel="1">
      <c r="C28" s="5"/>
      <c r="D28" s="26" t="s">
        <v>10</v>
      </c>
      <c r="E28" s="6"/>
      <c r="F28" s="6"/>
      <c r="G28" s="6"/>
      <c r="H28" s="9"/>
      <c r="I28" s="10"/>
      <c r="J28" s="27"/>
      <c r="K28" s="27"/>
      <c r="L28" s="27"/>
      <c r="M28" s="27"/>
      <c r="N28" s="27"/>
      <c r="O28" s="27"/>
      <c r="P28" s="27"/>
      <c r="Q28" s="27"/>
      <c r="R28" s="27"/>
      <c r="S28" s="28"/>
      <c r="T28" s="28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</row>
    <row r="29" spans="3:269" ht="18" hidden="1" customHeight="1" outlineLevel="1">
      <c r="C29" s="5"/>
      <c r="D29" s="26" t="s">
        <v>10</v>
      </c>
      <c r="E29" s="6"/>
      <c r="F29" s="6"/>
      <c r="G29" s="6"/>
      <c r="H29" s="9"/>
      <c r="I29" s="10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  <c r="IW29" s="28"/>
      <c r="IX29" s="28"/>
      <c r="IY29" s="28"/>
      <c r="IZ29" s="28"/>
      <c r="JA29" s="28"/>
      <c r="JB29" s="28"/>
      <c r="JC29" s="28"/>
      <c r="JD29" s="28"/>
      <c r="JE29" s="28"/>
      <c r="JF29" s="28"/>
      <c r="JG29" s="28"/>
      <c r="JH29" s="28"/>
      <c r="JI29" s="28"/>
    </row>
    <row r="30" spans="3:269" ht="18" hidden="1" customHeight="1" outlineLevel="1">
      <c r="C30" s="5"/>
      <c r="D30" s="26" t="s">
        <v>10</v>
      </c>
      <c r="E30" s="6"/>
      <c r="F30" s="6"/>
      <c r="G30" s="6"/>
      <c r="H30" s="9"/>
      <c r="I30" s="10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</row>
    <row r="31" spans="3:269" ht="18" hidden="1" customHeight="1" outlineLevel="1">
      <c r="C31" s="5"/>
      <c r="D31" s="26" t="s">
        <v>10</v>
      </c>
      <c r="E31" s="6"/>
      <c r="F31" s="6"/>
      <c r="G31" s="6"/>
      <c r="H31" s="9"/>
      <c r="I31" s="10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</row>
    <row r="32" spans="3:269" ht="18" hidden="1" customHeight="1" outlineLevel="1">
      <c r="C32" s="5"/>
      <c r="D32" s="26" t="s">
        <v>10</v>
      </c>
      <c r="E32" s="6"/>
      <c r="F32" s="6"/>
      <c r="G32" s="6"/>
      <c r="H32" s="9"/>
      <c r="I32" s="10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  <c r="IO32" s="28"/>
      <c r="IP32" s="28"/>
      <c r="IQ32" s="28"/>
      <c r="IR32" s="28"/>
      <c r="IS32" s="28"/>
      <c r="IT32" s="28"/>
      <c r="IU32" s="28"/>
      <c r="IV32" s="28"/>
      <c r="IW32" s="28"/>
      <c r="IX32" s="28"/>
      <c r="IY32" s="28"/>
      <c r="IZ32" s="28"/>
      <c r="JA32" s="28"/>
      <c r="JB32" s="28"/>
      <c r="JC32" s="28"/>
      <c r="JD32" s="28"/>
      <c r="JE32" s="28"/>
      <c r="JF32" s="28"/>
      <c r="JG32" s="28"/>
      <c r="JH32" s="28"/>
      <c r="JI32" s="28"/>
    </row>
    <row r="33" spans="3:269" ht="18" hidden="1" customHeight="1" outlineLevel="1">
      <c r="C33" s="5"/>
      <c r="D33" s="26" t="s">
        <v>10</v>
      </c>
      <c r="E33" s="6"/>
      <c r="F33" s="6"/>
      <c r="G33" s="6"/>
      <c r="H33" s="9"/>
      <c r="I33" s="10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  <c r="IW33" s="28"/>
      <c r="IX33" s="28"/>
      <c r="IY33" s="28"/>
      <c r="IZ33" s="28"/>
      <c r="JA33" s="28"/>
      <c r="JB33" s="28"/>
      <c r="JC33" s="28"/>
      <c r="JD33" s="28"/>
      <c r="JE33" s="28"/>
      <c r="JF33" s="28"/>
      <c r="JG33" s="28"/>
      <c r="JH33" s="28"/>
      <c r="JI33" s="28"/>
    </row>
    <row r="34" spans="3:269" ht="18" hidden="1" customHeight="1" outlineLevel="1">
      <c r="C34" s="5"/>
      <c r="D34" s="26" t="s">
        <v>10</v>
      </c>
      <c r="E34" s="6"/>
      <c r="F34" s="6"/>
      <c r="G34" s="6"/>
      <c r="H34" s="9"/>
      <c r="I34" s="10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</row>
    <row r="35" spans="3:269" ht="18" hidden="1" customHeight="1" outlineLevel="1">
      <c r="C35" s="5"/>
      <c r="D35" s="26" t="s">
        <v>10</v>
      </c>
      <c r="E35" s="6"/>
      <c r="F35" s="6"/>
      <c r="G35" s="6"/>
      <c r="H35" s="9"/>
      <c r="I35" s="10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</row>
    <row r="36" spans="3:269" ht="18" hidden="1" customHeight="1" outlineLevel="1">
      <c r="C36" s="5"/>
      <c r="D36" s="26" t="s">
        <v>10</v>
      </c>
      <c r="E36" s="6"/>
      <c r="F36" s="6"/>
      <c r="G36" s="6"/>
      <c r="H36" s="9"/>
      <c r="I36" s="10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</row>
    <row r="37" spans="3:269" ht="18" hidden="1" customHeight="1" outlineLevel="1">
      <c r="C37" s="5"/>
      <c r="D37" s="26" t="s">
        <v>10</v>
      </c>
      <c r="E37" s="6"/>
      <c r="F37" s="6"/>
      <c r="G37" s="6"/>
      <c r="H37" s="9"/>
      <c r="I37" s="10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</row>
    <row r="38" spans="3:269" ht="18" hidden="1" customHeight="1" outlineLevel="1">
      <c r="C38" s="5"/>
      <c r="D38" s="26" t="s">
        <v>10</v>
      </c>
      <c r="E38" s="6"/>
      <c r="F38" s="6"/>
      <c r="G38" s="6"/>
      <c r="H38" s="9"/>
      <c r="I38" s="1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</row>
    <row r="39" spans="3:269" ht="18" hidden="1" customHeight="1" outlineLevel="1">
      <c r="C39" s="5"/>
      <c r="D39" s="26" t="s">
        <v>10</v>
      </c>
      <c r="E39" s="6"/>
      <c r="F39" s="6"/>
      <c r="G39" s="6"/>
      <c r="H39" s="9"/>
      <c r="I39" s="10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  <c r="JI39" s="27"/>
    </row>
    <row r="40" spans="3:269" ht="18" hidden="1" customHeight="1" outlineLevel="1">
      <c r="C40" s="5"/>
      <c r="D40" s="26" t="s">
        <v>10</v>
      </c>
      <c r="E40" s="6"/>
      <c r="F40" s="6"/>
      <c r="G40" s="6"/>
      <c r="H40" s="9"/>
      <c r="I40" s="10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  <c r="JI40" s="27"/>
    </row>
    <row r="41" spans="3:269" ht="18" hidden="1" customHeight="1" outlineLevel="1">
      <c r="C41" s="5"/>
      <c r="D41" s="26" t="s">
        <v>10</v>
      </c>
      <c r="E41" s="6"/>
      <c r="F41" s="6"/>
      <c r="G41" s="6"/>
      <c r="H41" s="9"/>
      <c r="I41" s="10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</row>
    <row r="42" spans="3:269" ht="18" hidden="1" customHeight="1" outlineLevel="1">
      <c r="C42" s="5"/>
      <c r="D42" s="26" t="s">
        <v>10</v>
      </c>
      <c r="E42" s="6" t="s">
        <v>14</v>
      </c>
      <c r="F42" s="6"/>
      <c r="G42" s="6"/>
      <c r="H42" s="9">
        <v>44571</v>
      </c>
      <c r="I42" s="10">
        <v>44574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</row>
    <row r="43" spans="3:269" ht="18" hidden="1" customHeight="1" outlineLevel="1">
      <c r="C43" s="5"/>
      <c r="D43" s="26" t="s">
        <v>10</v>
      </c>
      <c r="E43" s="6"/>
      <c r="F43" s="6"/>
      <c r="G43" s="6"/>
      <c r="H43" s="9"/>
      <c r="I43" s="10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</row>
    <row r="44" spans="3:269" ht="18" hidden="1" customHeight="1" outlineLevel="1">
      <c r="C44" s="5"/>
      <c r="D44" s="26" t="s">
        <v>10</v>
      </c>
      <c r="E44" s="6"/>
      <c r="F44" s="6"/>
      <c r="G44" s="6"/>
      <c r="H44" s="9"/>
      <c r="I44" s="10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  <c r="JI44" s="27"/>
    </row>
    <row r="45" spans="3:269" ht="18" hidden="1" customHeight="1" outlineLevel="1">
      <c r="C45" s="5"/>
      <c r="D45" s="26" t="s">
        <v>10</v>
      </c>
      <c r="E45" s="6"/>
      <c r="F45" s="6"/>
      <c r="G45" s="6"/>
      <c r="H45" s="9"/>
      <c r="I45" s="10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</row>
    <row r="46" spans="3:269" ht="18" hidden="1" customHeight="1" outlineLevel="1">
      <c r="C46" s="5"/>
      <c r="D46" s="26" t="s">
        <v>10</v>
      </c>
      <c r="E46" s="6"/>
      <c r="F46" s="6"/>
      <c r="G46" s="6"/>
      <c r="H46" s="9"/>
      <c r="I46" s="10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</row>
    <row r="47" spans="3:269" ht="18" customHeight="1" collapsed="1">
      <c r="C47" s="8" t="s">
        <v>15</v>
      </c>
      <c r="D47" s="11"/>
      <c r="E47" s="31"/>
      <c r="F47" s="12"/>
      <c r="G47" s="12"/>
      <c r="H47" s="29">
        <f>MIN(H48:H67)</f>
        <v>0</v>
      </c>
      <c r="I47" s="30">
        <f>MAX(I48:I67)</f>
        <v>0</v>
      </c>
      <c r="J47" s="27"/>
      <c r="K47" s="27"/>
      <c r="L47" s="27"/>
      <c r="M47" s="27"/>
      <c r="N47" s="27"/>
      <c r="O47" s="27"/>
      <c r="P47" s="27"/>
      <c r="Q47" s="27"/>
      <c r="R47" s="27"/>
      <c r="S47" s="28"/>
      <c r="T47" s="28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</row>
    <row r="48" spans="3:269" ht="18" hidden="1" customHeight="1" outlineLevel="1">
      <c r="C48" s="5"/>
      <c r="D48" s="26" t="s">
        <v>10</v>
      </c>
      <c r="E48" s="6"/>
      <c r="F48" s="6"/>
      <c r="G48" s="6"/>
      <c r="H48" s="9"/>
      <c r="I48" s="10"/>
      <c r="J48" s="27"/>
      <c r="K48" s="27"/>
      <c r="L48" s="27"/>
      <c r="M48" s="27"/>
      <c r="N48" s="27"/>
      <c r="O48" s="27"/>
      <c r="P48" s="27"/>
      <c r="Q48" s="27"/>
      <c r="R48" s="27"/>
      <c r="S48" s="28"/>
      <c r="T48" s="28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</row>
    <row r="49" spans="3:269" ht="18" hidden="1" customHeight="1" outlineLevel="1">
      <c r="C49" s="5"/>
      <c r="D49" s="26" t="s">
        <v>10</v>
      </c>
      <c r="E49" s="6"/>
      <c r="F49" s="6"/>
      <c r="G49" s="6"/>
      <c r="H49" s="9"/>
      <c r="I49" s="10"/>
      <c r="J49" s="27"/>
      <c r="K49" s="27"/>
      <c r="L49" s="27"/>
      <c r="M49" s="27"/>
      <c r="N49" s="27"/>
      <c r="O49" s="27"/>
      <c r="P49" s="27"/>
      <c r="Q49" s="27"/>
      <c r="R49" s="27"/>
      <c r="S49" s="28"/>
      <c r="T49" s="28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</row>
    <row r="50" spans="3:269" ht="18" hidden="1" customHeight="1" outlineLevel="1">
      <c r="C50" s="5"/>
      <c r="D50" s="26" t="s">
        <v>10</v>
      </c>
      <c r="E50" s="6"/>
      <c r="F50" s="6"/>
      <c r="G50" s="6"/>
      <c r="H50" s="9"/>
      <c r="I50" s="10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T50" s="28"/>
      <c r="GU50" s="28"/>
      <c r="GV50" s="28"/>
      <c r="GW50" s="28"/>
      <c r="GX50" s="28"/>
      <c r="GY50" s="28"/>
      <c r="GZ50" s="28"/>
      <c r="HA50" s="28"/>
      <c r="HB50" s="28"/>
      <c r="HC50" s="28"/>
      <c r="HD50" s="28"/>
      <c r="HE50" s="28"/>
      <c r="HF50" s="28"/>
      <c r="HG50" s="28"/>
      <c r="HH50" s="28"/>
      <c r="HI50" s="28"/>
      <c r="HJ50" s="28"/>
      <c r="HK50" s="28"/>
      <c r="HL50" s="28"/>
      <c r="HM50" s="28"/>
      <c r="HN50" s="28"/>
      <c r="HO50" s="28"/>
      <c r="HP50" s="28"/>
      <c r="HQ50" s="28"/>
      <c r="HR50" s="28"/>
      <c r="HS50" s="28"/>
      <c r="HT50" s="28"/>
      <c r="HU50" s="28"/>
      <c r="HV50" s="28"/>
      <c r="HW50" s="28"/>
      <c r="HX50" s="28"/>
      <c r="HY50" s="28"/>
      <c r="HZ50" s="28"/>
      <c r="IA50" s="28"/>
      <c r="IB50" s="28"/>
      <c r="IC50" s="28"/>
      <c r="ID50" s="28"/>
      <c r="IE50" s="28"/>
      <c r="IF50" s="28"/>
      <c r="IG50" s="28"/>
      <c r="IH50" s="28"/>
      <c r="II50" s="28"/>
      <c r="IJ50" s="28"/>
      <c r="IK50" s="28"/>
      <c r="IL50" s="28"/>
      <c r="IM50" s="28"/>
      <c r="IN50" s="28"/>
      <c r="IO50" s="28"/>
      <c r="IP50" s="28"/>
      <c r="IQ50" s="28"/>
      <c r="IR50" s="28"/>
      <c r="IS50" s="28"/>
      <c r="IT50" s="28"/>
      <c r="IU50" s="28"/>
      <c r="IV50" s="28"/>
      <c r="IW50" s="28"/>
      <c r="IX50" s="28"/>
      <c r="IY50" s="28"/>
      <c r="IZ50" s="28"/>
      <c r="JA50" s="28"/>
      <c r="JB50" s="28"/>
      <c r="JC50" s="28"/>
      <c r="JD50" s="28"/>
      <c r="JE50" s="28"/>
      <c r="JF50" s="28"/>
      <c r="JG50" s="28"/>
      <c r="JH50" s="28"/>
      <c r="JI50" s="28"/>
    </row>
    <row r="51" spans="3:269" ht="18" hidden="1" customHeight="1" outlineLevel="1">
      <c r="C51" s="5"/>
      <c r="D51" s="26" t="s">
        <v>10</v>
      </c>
      <c r="E51" s="6"/>
      <c r="F51" s="6"/>
      <c r="G51" s="6"/>
      <c r="H51" s="9"/>
      <c r="I51" s="10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</row>
    <row r="52" spans="3:269" ht="18" hidden="1" customHeight="1" outlineLevel="1">
      <c r="C52" s="5"/>
      <c r="D52" s="26" t="s">
        <v>10</v>
      </c>
      <c r="E52" s="6"/>
      <c r="F52" s="6"/>
      <c r="G52" s="6"/>
      <c r="H52" s="9"/>
      <c r="I52" s="10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</row>
    <row r="53" spans="3:269" ht="18" hidden="1" customHeight="1" outlineLevel="1">
      <c r="C53" s="5"/>
      <c r="D53" s="26" t="s">
        <v>10</v>
      </c>
      <c r="E53" s="6"/>
      <c r="F53" s="6"/>
      <c r="G53" s="6"/>
      <c r="H53" s="9"/>
      <c r="I53" s="10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  <c r="FS53" s="28"/>
      <c r="FT53" s="28"/>
      <c r="FU53" s="28"/>
      <c r="FV53" s="28"/>
      <c r="FW53" s="28"/>
      <c r="FX53" s="28"/>
      <c r="FY53" s="28"/>
      <c r="FZ53" s="28"/>
      <c r="GA53" s="28"/>
      <c r="GB53" s="28"/>
      <c r="GC53" s="28"/>
      <c r="GD53" s="28"/>
      <c r="GE53" s="28"/>
      <c r="GF53" s="28"/>
      <c r="GG53" s="28"/>
      <c r="GH53" s="28"/>
      <c r="GI53" s="28"/>
      <c r="GJ53" s="28"/>
      <c r="GK53" s="28"/>
      <c r="GL53" s="28"/>
      <c r="GM53" s="28"/>
      <c r="GN53" s="28"/>
      <c r="GO53" s="28"/>
      <c r="GP53" s="28"/>
      <c r="GQ53" s="28"/>
      <c r="GR53" s="28"/>
      <c r="GS53" s="28"/>
      <c r="GT53" s="28"/>
      <c r="GU53" s="28"/>
      <c r="GV53" s="28"/>
      <c r="GW53" s="28"/>
      <c r="GX53" s="28"/>
      <c r="GY53" s="28"/>
      <c r="GZ53" s="28"/>
      <c r="HA53" s="28"/>
      <c r="HB53" s="28"/>
      <c r="HC53" s="28"/>
      <c r="HD53" s="28"/>
      <c r="HE53" s="28"/>
      <c r="HF53" s="28"/>
      <c r="HG53" s="28"/>
      <c r="HH53" s="28"/>
      <c r="HI53" s="28"/>
      <c r="HJ53" s="28"/>
      <c r="HK53" s="28"/>
      <c r="HL53" s="28"/>
      <c r="HM53" s="28"/>
      <c r="HN53" s="28"/>
      <c r="HO53" s="28"/>
      <c r="HP53" s="28"/>
      <c r="HQ53" s="28"/>
      <c r="HR53" s="28"/>
      <c r="HS53" s="28"/>
      <c r="HT53" s="28"/>
      <c r="HU53" s="28"/>
      <c r="HV53" s="28"/>
      <c r="HW53" s="28"/>
      <c r="HX53" s="28"/>
      <c r="HY53" s="28"/>
      <c r="HZ53" s="28"/>
      <c r="IA53" s="28"/>
      <c r="IB53" s="28"/>
      <c r="IC53" s="28"/>
      <c r="ID53" s="28"/>
      <c r="IE53" s="28"/>
      <c r="IF53" s="28"/>
      <c r="IG53" s="28"/>
      <c r="IH53" s="28"/>
      <c r="II53" s="28"/>
      <c r="IJ53" s="28"/>
      <c r="IK53" s="28"/>
      <c r="IL53" s="28"/>
      <c r="IM53" s="28"/>
      <c r="IN53" s="28"/>
      <c r="IO53" s="28"/>
      <c r="IP53" s="28"/>
      <c r="IQ53" s="28"/>
      <c r="IR53" s="28"/>
      <c r="IS53" s="28"/>
      <c r="IT53" s="28"/>
      <c r="IU53" s="28"/>
      <c r="IV53" s="28"/>
      <c r="IW53" s="28"/>
      <c r="IX53" s="28"/>
      <c r="IY53" s="28"/>
      <c r="IZ53" s="28"/>
      <c r="JA53" s="28"/>
      <c r="JB53" s="28"/>
      <c r="JC53" s="28"/>
      <c r="JD53" s="28"/>
      <c r="JE53" s="28"/>
      <c r="JF53" s="28"/>
      <c r="JG53" s="28"/>
      <c r="JH53" s="28"/>
      <c r="JI53" s="28"/>
    </row>
    <row r="54" spans="3:269" ht="18" hidden="1" customHeight="1" outlineLevel="1">
      <c r="C54" s="5"/>
      <c r="D54" s="26" t="s">
        <v>10</v>
      </c>
      <c r="E54" s="6"/>
      <c r="F54" s="6"/>
      <c r="G54" s="6"/>
      <c r="H54" s="9"/>
      <c r="I54" s="10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  <c r="FS54" s="28"/>
      <c r="FT54" s="28"/>
      <c r="FU54" s="28"/>
      <c r="FV54" s="28"/>
      <c r="FW54" s="28"/>
      <c r="FX54" s="28"/>
      <c r="FY54" s="28"/>
      <c r="FZ54" s="28"/>
      <c r="GA54" s="28"/>
      <c r="GB54" s="28"/>
      <c r="GC54" s="28"/>
      <c r="GD54" s="28"/>
      <c r="GE54" s="28"/>
      <c r="GF54" s="28"/>
      <c r="GG54" s="28"/>
      <c r="GH54" s="28"/>
      <c r="GI54" s="28"/>
      <c r="GJ54" s="28"/>
      <c r="GK54" s="28"/>
      <c r="GL54" s="28"/>
      <c r="GM54" s="28"/>
      <c r="GN54" s="28"/>
      <c r="GO54" s="28"/>
      <c r="GP54" s="28"/>
      <c r="GQ54" s="28"/>
      <c r="GR54" s="28"/>
      <c r="GS54" s="28"/>
      <c r="GT54" s="28"/>
      <c r="GU54" s="28"/>
      <c r="GV54" s="28"/>
      <c r="GW54" s="28"/>
      <c r="GX54" s="28"/>
      <c r="GY54" s="28"/>
      <c r="GZ54" s="28"/>
      <c r="HA54" s="28"/>
      <c r="HB54" s="28"/>
      <c r="HC54" s="28"/>
      <c r="HD54" s="28"/>
      <c r="HE54" s="28"/>
      <c r="HF54" s="28"/>
      <c r="HG54" s="28"/>
      <c r="HH54" s="28"/>
      <c r="HI54" s="28"/>
      <c r="HJ54" s="28"/>
      <c r="HK54" s="28"/>
      <c r="HL54" s="28"/>
      <c r="HM54" s="28"/>
      <c r="HN54" s="28"/>
      <c r="HO54" s="28"/>
      <c r="HP54" s="28"/>
      <c r="HQ54" s="28"/>
      <c r="HR54" s="28"/>
      <c r="HS54" s="28"/>
      <c r="HT54" s="28"/>
      <c r="HU54" s="28"/>
      <c r="HV54" s="28"/>
      <c r="HW54" s="28"/>
      <c r="HX54" s="28"/>
      <c r="HY54" s="28"/>
      <c r="HZ54" s="28"/>
      <c r="IA54" s="28"/>
      <c r="IB54" s="28"/>
      <c r="IC54" s="28"/>
      <c r="ID54" s="28"/>
      <c r="IE54" s="28"/>
      <c r="IF54" s="28"/>
      <c r="IG54" s="28"/>
      <c r="IH54" s="28"/>
      <c r="II54" s="28"/>
      <c r="IJ54" s="28"/>
      <c r="IK54" s="28"/>
      <c r="IL54" s="28"/>
      <c r="IM54" s="28"/>
      <c r="IN54" s="28"/>
      <c r="IO54" s="28"/>
      <c r="IP54" s="28"/>
      <c r="IQ54" s="28"/>
      <c r="IR54" s="28"/>
      <c r="IS54" s="28"/>
      <c r="IT54" s="28"/>
      <c r="IU54" s="28"/>
      <c r="IV54" s="28"/>
      <c r="IW54" s="28"/>
      <c r="IX54" s="28"/>
      <c r="IY54" s="28"/>
      <c r="IZ54" s="28"/>
      <c r="JA54" s="28"/>
      <c r="JB54" s="28"/>
      <c r="JC54" s="28"/>
      <c r="JD54" s="28"/>
      <c r="JE54" s="28"/>
      <c r="JF54" s="28"/>
      <c r="JG54" s="28"/>
      <c r="JH54" s="28"/>
      <c r="JI54" s="28"/>
    </row>
    <row r="55" spans="3:269" ht="18" hidden="1" customHeight="1" outlineLevel="1">
      <c r="C55" s="5"/>
      <c r="D55" s="26" t="s">
        <v>10</v>
      </c>
      <c r="E55" s="6"/>
      <c r="F55" s="6"/>
      <c r="G55" s="6"/>
      <c r="H55" s="9"/>
      <c r="I55" s="10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</row>
    <row r="56" spans="3:269" ht="18" hidden="1" customHeight="1" outlineLevel="1">
      <c r="C56" s="5"/>
      <c r="D56" s="26" t="s">
        <v>10</v>
      </c>
      <c r="E56" s="6"/>
      <c r="F56" s="6"/>
      <c r="G56" s="6"/>
      <c r="H56" s="9"/>
      <c r="I56" s="10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</row>
    <row r="57" spans="3:269" ht="18" hidden="1" customHeight="1" outlineLevel="1">
      <c r="C57" s="5"/>
      <c r="D57" s="26" t="s">
        <v>10</v>
      </c>
      <c r="E57" s="6"/>
      <c r="F57" s="6"/>
      <c r="G57" s="6"/>
      <c r="H57" s="9"/>
      <c r="I57" s="10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</row>
    <row r="58" spans="3:269" ht="18" hidden="1" customHeight="1" outlineLevel="1">
      <c r="C58" s="5"/>
      <c r="D58" s="26" t="s">
        <v>10</v>
      </c>
      <c r="E58" s="6"/>
      <c r="F58" s="6"/>
      <c r="G58" s="6"/>
      <c r="H58" s="9"/>
      <c r="I58" s="10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  <c r="JI58" s="27"/>
    </row>
    <row r="59" spans="3:269" ht="18" hidden="1" customHeight="1" outlineLevel="1">
      <c r="C59" s="5"/>
      <c r="D59" s="26" t="s">
        <v>10</v>
      </c>
      <c r="E59" s="6"/>
      <c r="F59" s="6"/>
      <c r="G59" s="6"/>
      <c r="H59" s="9"/>
      <c r="I59" s="10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F59" s="27"/>
      <c r="JG59" s="27"/>
      <c r="JH59" s="27"/>
      <c r="JI59" s="27"/>
    </row>
    <row r="60" spans="3:269" ht="18" hidden="1" customHeight="1" outlineLevel="1">
      <c r="C60" s="5"/>
      <c r="D60" s="26" t="s">
        <v>10</v>
      </c>
      <c r="E60" s="6"/>
      <c r="F60" s="6"/>
      <c r="G60" s="6"/>
      <c r="H60" s="9"/>
      <c r="I60" s="10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</row>
    <row r="61" spans="3:269" ht="18" hidden="1" customHeight="1" outlineLevel="1">
      <c r="C61" s="5"/>
      <c r="D61" s="26" t="s">
        <v>10</v>
      </c>
      <c r="E61" s="6"/>
      <c r="F61" s="6"/>
      <c r="G61" s="6"/>
      <c r="H61" s="9"/>
      <c r="I61" s="10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F61" s="27"/>
      <c r="JG61" s="27"/>
      <c r="JH61" s="27"/>
      <c r="JI61" s="27"/>
    </row>
    <row r="62" spans="3:269" ht="18" hidden="1" customHeight="1" outlineLevel="1">
      <c r="C62" s="5"/>
      <c r="D62" s="26" t="s">
        <v>10</v>
      </c>
      <c r="E62" s="6"/>
      <c r="F62" s="6"/>
      <c r="G62" s="6"/>
      <c r="H62" s="9"/>
      <c r="I62" s="10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</row>
    <row r="63" spans="3:269" ht="18" hidden="1" customHeight="1" outlineLevel="1">
      <c r="C63" s="5"/>
      <c r="D63" s="26" t="s">
        <v>10</v>
      </c>
      <c r="E63" s="6"/>
      <c r="F63" s="6"/>
      <c r="G63" s="6"/>
      <c r="H63" s="9"/>
      <c r="I63" s="10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F63" s="27"/>
      <c r="JG63" s="27"/>
      <c r="JH63" s="27"/>
      <c r="JI63" s="27"/>
    </row>
    <row r="64" spans="3:269" ht="18" hidden="1" customHeight="1" outlineLevel="1">
      <c r="C64" s="5"/>
      <c r="D64" s="26" t="s">
        <v>10</v>
      </c>
      <c r="E64" s="6"/>
      <c r="F64" s="6"/>
      <c r="G64" s="6"/>
      <c r="H64" s="9"/>
      <c r="I64" s="10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  <c r="JI64" s="27"/>
    </row>
    <row r="65" spans="3:269" ht="18" hidden="1" customHeight="1" outlineLevel="1">
      <c r="C65" s="5"/>
      <c r="D65" s="26" t="s">
        <v>10</v>
      </c>
      <c r="E65" s="6"/>
      <c r="F65" s="6"/>
      <c r="G65" s="6"/>
      <c r="H65" s="9"/>
      <c r="I65" s="10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</row>
    <row r="66" spans="3:269" ht="18" hidden="1" customHeight="1" outlineLevel="1">
      <c r="C66" s="5"/>
      <c r="D66" s="26" t="s">
        <v>10</v>
      </c>
      <c r="E66" s="6"/>
      <c r="F66" s="6"/>
      <c r="G66" s="6"/>
      <c r="H66" s="9"/>
      <c r="I66" s="10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</row>
    <row r="67" spans="3:269" ht="18" hidden="1" customHeight="1" outlineLevel="1">
      <c r="C67" s="5"/>
      <c r="D67" s="26" t="s">
        <v>10</v>
      </c>
      <c r="E67" s="6"/>
      <c r="F67" s="6"/>
      <c r="G67" s="6"/>
      <c r="H67" s="9"/>
      <c r="I67" s="10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</row>
    <row r="68" spans="3:269" ht="18" customHeight="1" collapsed="1">
      <c r="C68" s="8" t="s">
        <v>16</v>
      </c>
      <c r="D68" s="11"/>
      <c r="E68" s="31"/>
      <c r="F68" s="12"/>
      <c r="G68" s="12"/>
      <c r="H68" s="29">
        <f>MIN(H69:H88)</f>
        <v>0</v>
      </c>
      <c r="I68" s="30">
        <f>MAX(I69:I88)</f>
        <v>0</v>
      </c>
      <c r="J68" s="27"/>
      <c r="K68" s="27"/>
      <c r="L68" s="27"/>
      <c r="M68" s="27"/>
      <c r="N68" s="27"/>
      <c r="O68" s="27"/>
      <c r="P68" s="27"/>
      <c r="Q68" s="27"/>
      <c r="R68" s="27"/>
      <c r="S68" s="28"/>
      <c r="T68" s="28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</row>
    <row r="69" spans="3:269" ht="18" hidden="1" customHeight="1" outlineLevel="1">
      <c r="C69" s="5"/>
      <c r="D69" s="26" t="s">
        <v>10</v>
      </c>
      <c r="E69" s="6"/>
      <c r="F69" s="6"/>
      <c r="G69" s="6"/>
      <c r="H69" s="9"/>
      <c r="I69" s="10"/>
      <c r="J69" s="27"/>
      <c r="K69" s="27"/>
      <c r="L69" s="27"/>
      <c r="M69" s="27"/>
      <c r="N69" s="27"/>
      <c r="O69" s="27"/>
      <c r="P69" s="27"/>
      <c r="Q69" s="27"/>
      <c r="R69" s="27"/>
      <c r="S69" s="28"/>
      <c r="T69" s="28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  <c r="JI69" s="27"/>
    </row>
    <row r="70" spans="3:269" ht="18" hidden="1" customHeight="1" outlineLevel="1">
      <c r="C70" s="5"/>
      <c r="D70" s="26" t="s">
        <v>10</v>
      </c>
      <c r="E70" s="6"/>
      <c r="F70" s="6"/>
      <c r="G70" s="6"/>
      <c r="H70" s="9"/>
      <c r="I70" s="10"/>
      <c r="J70" s="27"/>
      <c r="K70" s="27"/>
      <c r="L70" s="27"/>
      <c r="M70" s="27"/>
      <c r="N70" s="27"/>
      <c r="O70" s="27"/>
      <c r="P70" s="27"/>
      <c r="Q70" s="27"/>
      <c r="R70" s="27"/>
      <c r="S70" s="28"/>
      <c r="T70" s="28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F70" s="27"/>
      <c r="JG70" s="27"/>
      <c r="JH70" s="27"/>
      <c r="JI70" s="27"/>
    </row>
    <row r="71" spans="3:269" ht="18" hidden="1" customHeight="1" outlineLevel="1">
      <c r="C71" s="5"/>
      <c r="D71" s="26" t="s">
        <v>10</v>
      </c>
      <c r="E71" s="6"/>
      <c r="F71" s="6"/>
      <c r="G71" s="6"/>
      <c r="H71" s="9"/>
      <c r="I71" s="10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  <c r="GF71" s="28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28"/>
      <c r="GS71" s="28"/>
      <c r="GT71" s="28"/>
      <c r="GU71" s="28"/>
      <c r="GV71" s="28"/>
      <c r="GW71" s="28"/>
      <c r="GX71" s="28"/>
      <c r="GY71" s="28"/>
      <c r="GZ71" s="28"/>
      <c r="HA71" s="28"/>
      <c r="HB71" s="28"/>
      <c r="HC71" s="28"/>
      <c r="HD71" s="28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28"/>
      <c r="HV71" s="28"/>
      <c r="HW71" s="28"/>
      <c r="HX71" s="28"/>
      <c r="HY71" s="28"/>
      <c r="HZ71" s="28"/>
      <c r="IA71" s="28"/>
      <c r="IB71" s="28"/>
      <c r="IC71" s="28"/>
      <c r="ID71" s="28"/>
      <c r="IE71" s="28"/>
      <c r="IF71" s="28"/>
      <c r="IG71" s="28"/>
      <c r="IH71" s="28"/>
      <c r="II71" s="28"/>
      <c r="IJ71" s="28"/>
      <c r="IK71" s="28"/>
      <c r="IL71" s="28"/>
      <c r="IM71" s="28"/>
      <c r="IN71" s="28"/>
      <c r="IO71" s="28"/>
      <c r="IP71" s="28"/>
      <c r="IQ71" s="28"/>
      <c r="IR71" s="28"/>
      <c r="IS71" s="28"/>
      <c r="IT71" s="28"/>
      <c r="IU71" s="28"/>
      <c r="IV71" s="28"/>
      <c r="IW71" s="28"/>
      <c r="IX71" s="28"/>
      <c r="IY71" s="28"/>
      <c r="IZ71" s="28"/>
      <c r="JA71" s="28"/>
      <c r="JB71" s="28"/>
      <c r="JC71" s="28"/>
      <c r="JD71" s="28"/>
      <c r="JE71" s="28"/>
      <c r="JF71" s="28"/>
      <c r="JG71" s="28"/>
      <c r="JH71" s="28"/>
      <c r="JI71" s="28"/>
    </row>
    <row r="72" spans="3:269" ht="18" hidden="1" customHeight="1" outlineLevel="1">
      <c r="C72" s="5"/>
      <c r="D72" s="26" t="s">
        <v>10</v>
      </c>
      <c r="E72" s="6"/>
      <c r="F72" s="6"/>
      <c r="G72" s="6"/>
      <c r="H72" s="9"/>
      <c r="I72" s="10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F72" s="27"/>
      <c r="JG72" s="27"/>
      <c r="JH72" s="27"/>
      <c r="JI72" s="27"/>
    </row>
    <row r="73" spans="3:269" ht="18" hidden="1" customHeight="1" outlineLevel="1">
      <c r="C73" s="5"/>
      <c r="D73" s="26" t="s">
        <v>10</v>
      </c>
      <c r="E73" s="6"/>
      <c r="F73" s="6"/>
      <c r="G73" s="6"/>
      <c r="H73" s="9"/>
      <c r="I73" s="10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F73" s="27"/>
      <c r="JG73" s="27"/>
      <c r="JH73" s="27"/>
      <c r="JI73" s="27"/>
    </row>
    <row r="74" spans="3:269" ht="18" hidden="1" customHeight="1" outlineLevel="1">
      <c r="C74" s="5"/>
      <c r="D74" s="26" t="s">
        <v>10</v>
      </c>
      <c r="E74" s="6"/>
      <c r="F74" s="6"/>
      <c r="G74" s="6"/>
      <c r="H74" s="9"/>
      <c r="I74" s="10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  <c r="GF74" s="28"/>
      <c r="GG74" s="28"/>
      <c r="GH74" s="28"/>
      <c r="GI74" s="28"/>
      <c r="GJ74" s="28"/>
      <c r="GK74" s="28"/>
      <c r="GL74" s="28"/>
      <c r="GM74" s="28"/>
      <c r="GN74" s="28"/>
      <c r="GO74" s="28"/>
      <c r="GP74" s="28"/>
      <c r="GQ74" s="28"/>
      <c r="GR74" s="28"/>
      <c r="GS74" s="28"/>
      <c r="GT74" s="28"/>
      <c r="GU74" s="28"/>
      <c r="GV74" s="28"/>
      <c r="GW74" s="28"/>
      <c r="GX74" s="28"/>
      <c r="GY74" s="28"/>
      <c r="GZ74" s="28"/>
      <c r="HA74" s="28"/>
      <c r="HB74" s="28"/>
      <c r="HC74" s="28"/>
      <c r="HD74" s="28"/>
      <c r="HE74" s="28"/>
      <c r="HF74" s="28"/>
      <c r="HG74" s="28"/>
      <c r="HH74" s="28"/>
      <c r="HI74" s="28"/>
      <c r="HJ74" s="28"/>
      <c r="HK74" s="28"/>
      <c r="HL74" s="28"/>
      <c r="HM74" s="28"/>
      <c r="HN74" s="28"/>
      <c r="HO74" s="28"/>
      <c r="HP74" s="28"/>
      <c r="HQ74" s="28"/>
      <c r="HR74" s="28"/>
      <c r="HS74" s="28"/>
      <c r="HT74" s="28"/>
      <c r="HU74" s="28"/>
      <c r="HV74" s="28"/>
      <c r="HW74" s="28"/>
      <c r="HX74" s="28"/>
      <c r="HY74" s="28"/>
      <c r="HZ74" s="28"/>
      <c r="IA74" s="28"/>
      <c r="IB74" s="28"/>
      <c r="IC74" s="28"/>
      <c r="ID74" s="28"/>
      <c r="IE74" s="28"/>
      <c r="IF74" s="28"/>
      <c r="IG74" s="28"/>
      <c r="IH74" s="28"/>
      <c r="II74" s="28"/>
      <c r="IJ74" s="28"/>
      <c r="IK74" s="28"/>
      <c r="IL74" s="28"/>
      <c r="IM74" s="28"/>
      <c r="IN74" s="28"/>
      <c r="IO74" s="28"/>
      <c r="IP74" s="28"/>
      <c r="IQ74" s="28"/>
      <c r="IR74" s="28"/>
      <c r="IS74" s="28"/>
      <c r="IT74" s="28"/>
      <c r="IU74" s="28"/>
      <c r="IV74" s="28"/>
      <c r="IW74" s="28"/>
      <c r="IX74" s="28"/>
      <c r="IY74" s="28"/>
      <c r="IZ74" s="28"/>
      <c r="JA74" s="28"/>
      <c r="JB74" s="28"/>
      <c r="JC74" s="28"/>
      <c r="JD74" s="28"/>
      <c r="JE74" s="28"/>
      <c r="JF74" s="28"/>
      <c r="JG74" s="28"/>
      <c r="JH74" s="28"/>
      <c r="JI74" s="28"/>
    </row>
    <row r="75" spans="3:269" ht="18" hidden="1" customHeight="1" outlineLevel="1">
      <c r="C75" s="5"/>
      <c r="D75" s="26" t="s">
        <v>10</v>
      </c>
      <c r="E75" s="6"/>
      <c r="F75" s="6"/>
      <c r="G75" s="6"/>
      <c r="H75" s="9"/>
      <c r="I75" s="10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28"/>
      <c r="GS75" s="28"/>
      <c r="GT75" s="28"/>
      <c r="GU75" s="28"/>
      <c r="GV75" s="28"/>
      <c r="GW75" s="28"/>
      <c r="GX75" s="28"/>
      <c r="GY75" s="28"/>
      <c r="GZ75" s="28"/>
      <c r="HA75" s="28"/>
      <c r="HB75" s="28"/>
      <c r="HC75" s="28"/>
      <c r="HD75" s="28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8"/>
      <c r="IE75" s="28"/>
      <c r="IF75" s="28"/>
      <c r="IG75" s="28"/>
      <c r="IH75" s="28"/>
      <c r="II75" s="28"/>
      <c r="IJ75" s="28"/>
      <c r="IK75" s="28"/>
      <c r="IL75" s="28"/>
      <c r="IM75" s="28"/>
      <c r="IN75" s="28"/>
      <c r="IO75" s="28"/>
      <c r="IP75" s="28"/>
      <c r="IQ75" s="28"/>
      <c r="IR75" s="28"/>
      <c r="IS75" s="28"/>
      <c r="IT75" s="28"/>
      <c r="IU75" s="28"/>
      <c r="IV75" s="28"/>
      <c r="IW75" s="28"/>
      <c r="IX75" s="28"/>
      <c r="IY75" s="28"/>
      <c r="IZ75" s="28"/>
      <c r="JA75" s="28"/>
      <c r="JB75" s="28"/>
      <c r="JC75" s="28"/>
      <c r="JD75" s="28"/>
      <c r="JE75" s="28"/>
      <c r="JF75" s="28"/>
      <c r="JG75" s="28"/>
      <c r="JH75" s="28"/>
      <c r="JI75" s="28"/>
    </row>
    <row r="76" spans="3:269" ht="18" hidden="1" customHeight="1" outlineLevel="1">
      <c r="C76" s="5"/>
      <c r="D76" s="26" t="s">
        <v>10</v>
      </c>
      <c r="E76" s="6"/>
      <c r="F76" s="6"/>
      <c r="G76" s="6"/>
      <c r="H76" s="9"/>
      <c r="I76" s="10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F76" s="27"/>
      <c r="JG76" s="27"/>
      <c r="JH76" s="27"/>
      <c r="JI76" s="27"/>
    </row>
    <row r="77" spans="3:269" ht="18" hidden="1" customHeight="1" outlineLevel="1">
      <c r="C77" s="5"/>
      <c r="D77" s="26" t="s">
        <v>10</v>
      </c>
      <c r="E77" s="6"/>
      <c r="F77" s="6"/>
      <c r="G77" s="6"/>
      <c r="H77" s="9"/>
      <c r="I77" s="10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/>
      <c r="JH77" s="27"/>
      <c r="JI77" s="27"/>
    </row>
    <row r="78" spans="3:269" ht="18" hidden="1" customHeight="1" outlineLevel="1">
      <c r="C78" s="5"/>
      <c r="D78" s="26" t="s">
        <v>10</v>
      </c>
      <c r="E78" s="6"/>
      <c r="F78" s="6"/>
      <c r="G78" s="6"/>
      <c r="H78" s="9"/>
      <c r="I78" s="10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  <c r="JI78" s="27"/>
    </row>
    <row r="79" spans="3:269" ht="18" hidden="1" customHeight="1" outlineLevel="1">
      <c r="C79" s="5"/>
      <c r="D79" s="26" t="s">
        <v>10</v>
      </c>
      <c r="E79" s="6"/>
      <c r="F79" s="6"/>
      <c r="G79" s="6"/>
      <c r="H79" s="9"/>
      <c r="I79" s="10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F79" s="27"/>
      <c r="JG79" s="27"/>
      <c r="JH79" s="27"/>
      <c r="JI79" s="27"/>
    </row>
    <row r="80" spans="3:269" ht="18" hidden="1" customHeight="1" outlineLevel="1">
      <c r="C80" s="5"/>
      <c r="D80" s="26" t="s">
        <v>10</v>
      </c>
      <c r="E80" s="6"/>
      <c r="F80" s="6"/>
      <c r="G80" s="6"/>
      <c r="H80" s="9"/>
      <c r="I80" s="10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</row>
    <row r="81" spans="3:269" ht="18" hidden="1" customHeight="1" outlineLevel="1">
      <c r="C81" s="5"/>
      <c r="D81" s="26" t="s">
        <v>10</v>
      </c>
      <c r="E81" s="6"/>
      <c r="F81" s="6"/>
      <c r="G81" s="6"/>
      <c r="H81" s="9"/>
      <c r="I81" s="10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</row>
    <row r="82" spans="3:269" ht="18" hidden="1" customHeight="1" outlineLevel="1">
      <c r="C82" s="5"/>
      <c r="D82" s="26" t="s">
        <v>10</v>
      </c>
      <c r="E82" s="6"/>
      <c r="F82" s="6"/>
      <c r="G82" s="6"/>
      <c r="H82" s="9"/>
      <c r="I82" s="10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</row>
    <row r="83" spans="3:269" ht="18" hidden="1" customHeight="1" outlineLevel="1">
      <c r="C83" s="5"/>
      <c r="D83" s="26" t="s">
        <v>10</v>
      </c>
      <c r="E83" s="6"/>
      <c r="F83" s="6"/>
      <c r="G83" s="6"/>
      <c r="H83" s="9"/>
      <c r="I83" s="10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</row>
    <row r="84" spans="3:269" ht="18" hidden="1" customHeight="1" outlineLevel="1">
      <c r="C84" s="5"/>
      <c r="D84" s="26" t="s">
        <v>10</v>
      </c>
      <c r="E84" s="6"/>
      <c r="F84" s="6"/>
      <c r="G84" s="6"/>
      <c r="H84" s="9"/>
      <c r="I84" s="10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F84" s="27"/>
      <c r="JG84" s="27"/>
      <c r="JH84" s="27"/>
      <c r="JI84" s="27"/>
    </row>
    <row r="85" spans="3:269" ht="18" hidden="1" customHeight="1" outlineLevel="1">
      <c r="C85" s="5"/>
      <c r="D85" s="26" t="s">
        <v>10</v>
      </c>
      <c r="E85" s="6"/>
      <c r="F85" s="6"/>
      <c r="G85" s="6"/>
      <c r="H85" s="9"/>
      <c r="I85" s="10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F85" s="27"/>
      <c r="JG85" s="27"/>
      <c r="JH85" s="27"/>
      <c r="JI85" s="27"/>
    </row>
    <row r="86" spans="3:269" ht="18" hidden="1" customHeight="1" outlineLevel="1">
      <c r="C86" s="5"/>
      <c r="D86" s="26" t="s">
        <v>10</v>
      </c>
      <c r="E86" s="6"/>
      <c r="F86" s="6"/>
      <c r="G86" s="6"/>
      <c r="H86" s="9"/>
      <c r="I86" s="10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F86" s="27"/>
      <c r="JG86" s="27"/>
      <c r="JH86" s="27"/>
      <c r="JI86" s="27"/>
    </row>
    <row r="87" spans="3:269" ht="18" hidden="1" customHeight="1" outlineLevel="1">
      <c r="C87" s="5"/>
      <c r="D87" s="26" t="s">
        <v>10</v>
      </c>
      <c r="E87" s="6"/>
      <c r="F87" s="6"/>
      <c r="G87" s="6"/>
      <c r="H87" s="9"/>
      <c r="I87" s="10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  <c r="JI87" s="27"/>
    </row>
    <row r="88" spans="3:269" ht="18" hidden="1" customHeight="1" outlineLevel="1">
      <c r="C88" s="5"/>
      <c r="D88" s="26" t="s">
        <v>10</v>
      </c>
      <c r="E88" s="6"/>
      <c r="F88" s="6"/>
      <c r="G88" s="6"/>
      <c r="H88" s="9"/>
      <c r="I88" s="10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  <c r="JI88" s="27"/>
    </row>
    <row r="89" spans="3:269" ht="18" customHeight="1" collapsed="1">
      <c r="C89" s="8" t="s">
        <v>17</v>
      </c>
      <c r="D89" s="11"/>
      <c r="E89" s="31"/>
      <c r="F89" s="12"/>
      <c r="G89" s="12"/>
      <c r="H89" s="29">
        <f>MIN(H90:H109)</f>
        <v>0</v>
      </c>
      <c r="I89" s="30">
        <f>MAX(I90:I109)</f>
        <v>0</v>
      </c>
      <c r="J89" s="27"/>
      <c r="K89" s="27"/>
      <c r="L89" s="27"/>
      <c r="M89" s="27"/>
      <c r="N89" s="27"/>
      <c r="O89" s="27"/>
      <c r="P89" s="27"/>
      <c r="Q89" s="27"/>
      <c r="R89" s="27"/>
      <c r="S89" s="28"/>
      <c r="T89" s="28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  <c r="JI89" s="27"/>
    </row>
    <row r="90" spans="3:269" ht="18" hidden="1" customHeight="1" outlineLevel="1">
      <c r="C90" s="5"/>
      <c r="D90" s="26" t="s">
        <v>10</v>
      </c>
      <c r="E90" s="6"/>
      <c r="F90" s="6"/>
      <c r="G90" s="6"/>
      <c r="H90" s="9"/>
      <c r="I90" s="10"/>
      <c r="J90" s="27"/>
      <c r="K90" s="27"/>
      <c r="L90" s="27"/>
      <c r="M90" s="27"/>
      <c r="N90" s="27"/>
      <c r="O90" s="27"/>
      <c r="P90" s="27"/>
      <c r="Q90" s="27"/>
      <c r="R90" s="27"/>
      <c r="S90" s="28"/>
      <c r="T90" s="28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F90" s="27"/>
      <c r="JG90" s="27"/>
      <c r="JH90" s="27"/>
      <c r="JI90" s="27"/>
    </row>
    <row r="91" spans="3:269" ht="18" hidden="1" customHeight="1" outlineLevel="1">
      <c r="C91" s="5"/>
      <c r="D91" s="26" t="s">
        <v>10</v>
      </c>
      <c r="E91" s="6"/>
      <c r="F91" s="6"/>
      <c r="G91" s="6"/>
      <c r="H91" s="9"/>
      <c r="I91" s="10"/>
      <c r="J91" s="27"/>
      <c r="K91" s="27"/>
      <c r="L91" s="27"/>
      <c r="M91" s="27"/>
      <c r="N91" s="27"/>
      <c r="O91" s="27"/>
      <c r="P91" s="27"/>
      <c r="Q91" s="27"/>
      <c r="R91" s="27"/>
      <c r="S91" s="28"/>
      <c r="T91" s="28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  <c r="IT91" s="27"/>
      <c r="IU91" s="27"/>
      <c r="IV91" s="27"/>
      <c r="IW91" s="27"/>
      <c r="IX91" s="27"/>
      <c r="IY91" s="27"/>
      <c r="IZ91" s="27"/>
      <c r="JA91" s="27"/>
      <c r="JB91" s="27"/>
      <c r="JC91" s="27"/>
      <c r="JD91" s="27"/>
      <c r="JE91" s="27"/>
      <c r="JF91" s="27"/>
      <c r="JG91" s="27"/>
      <c r="JH91" s="27"/>
      <c r="JI91" s="27"/>
    </row>
    <row r="92" spans="3:269" ht="18" hidden="1" customHeight="1" outlineLevel="1">
      <c r="C92" s="5"/>
      <c r="D92" s="26" t="s">
        <v>10</v>
      </c>
      <c r="E92" s="6"/>
      <c r="F92" s="6"/>
      <c r="G92" s="6"/>
      <c r="H92" s="9"/>
      <c r="I92" s="10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  <c r="GF92" s="28"/>
      <c r="GG92" s="28"/>
      <c r="GH92" s="28"/>
      <c r="GI92" s="28"/>
      <c r="GJ92" s="28"/>
      <c r="GK92" s="28"/>
      <c r="GL92" s="28"/>
      <c r="GM92" s="28"/>
      <c r="GN92" s="28"/>
      <c r="GO92" s="28"/>
      <c r="GP92" s="28"/>
      <c r="GQ92" s="28"/>
      <c r="GR92" s="28"/>
      <c r="GS92" s="28"/>
      <c r="GT92" s="28"/>
      <c r="GU92" s="28"/>
      <c r="GV92" s="28"/>
      <c r="GW92" s="28"/>
      <c r="GX92" s="28"/>
      <c r="GY92" s="28"/>
      <c r="GZ92" s="28"/>
      <c r="HA92" s="28"/>
      <c r="HB92" s="28"/>
      <c r="HC92" s="28"/>
      <c r="HD92" s="28"/>
      <c r="HE92" s="28"/>
      <c r="HF92" s="28"/>
      <c r="HG92" s="28"/>
      <c r="HH92" s="28"/>
      <c r="HI92" s="28"/>
      <c r="HJ92" s="28"/>
      <c r="HK92" s="28"/>
      <c r="HL92" s="28"/>
      <c r="HM92" s="28"/>
      <c r="HN92" s="28"/>
      <c r="HO92" s="28"/>
      <c r="HP92" s="28"/>
      <c r="HQ92" s="28"/>
      <c r="HR92" s="28"/>
      <c r="HS92" s="28"/>
      <c r="HT92" s="28"/>
      <c r="HU92" s="28"/>
      <c r="HV92" s="28"/>
      <c r="HW92" s="28"/>
      <c r="HX92" s="28"/>
      <c r="HY92" s="28"/>
      <c r="HZ92" s="28"/>
      <c r="IA92" s="28"/>
      <c r="IB92" s="28"/>
      <c r="IC92" s="28"/>
      <c r="ID92" s="28"/>
      <c r="IE92" s="28"/>
      <c r="IF92" s="28"/>
      <c r="IG92" s="28"/>
      <c r="IH92" s="28"/>
      <c r="II92" s="28"/>
      <c r="IJ92" s="28"/>
      <c r="IK92" s="28"/>
      <c r="IL92" s="28"/>
      <c r="IM92" s="28"/>
      <c r="IN92" s="28"/>
      <c r="IO92" s="28"/>
      <c r="IP92" s="28"/>
      <c r="IQ92" s="28"/>
      <c r="IR92" s="28"/>
      <c r="IS92" s="28"/>
      <c r="IT92" s="28"/>
      <c r="IU92" s="28"/>
      <c r="IV92" s="28"/>
      <c r="IW92" s="28"/>
      <c r="IX92" s="28"/>
      <c r="IY92" s="28"/>
      <c r="IZ92" s="28"/>
      <c r="JA92" s="28"/>
      <c r="JB92" s="28"/>
      <c r="JC92" s="28"/>
      <c r="JD92" s="28"/>
      <c r="JE92" s="28"/>
      <c r="JF92" s="28"/>
      <c r="JG92" s="28"/>
      <c r="JH92" s="28"/>
      <c r="JI92" s="28"/>
    </row>
    <row r="93" spans="3:269" ht="18" hidden="1" customHeight="1" outlineLevel="1">
      <c r="C93" s="5"/>
      <c r="D93" s="26" t="s">
        <v>10</v>
      </c>
      <c r="E93" s="6"/>
      <c r="F93" s="6"/>
      <c r="G93" s="6"/>
      <c r="H93" s="9"/>
      <c r="I93" s="10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F93" s="27"/>
      <c r="JG93" s="27"/>
      <c r="JH93" s="27"/>
      <c r="JI93" s="27"/>
    </row>
    <row r="94" spans="3:269" ht="18" hidden="1" customHeight="1" outlineLevel="1">
      <c r="C94" s="5"/>
      <c r="D94" s="26" t="s">
        <v>10</v>
      </c>
      <c r="E94" s="6"/>
      <c r="F94" s="6"/>
      <c r="G94" s="6"/>
      <c r="H94" s="9"/>
      <c r="I94" s="10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F94" s="27"/>
      <c r="JG94" s="27"/>
      <c r="JH94" s="27"/>
      <c r="JI94" s="27"/>
    </row>
    <row r="95" spans="3:269" ht="18" hidden="1" customHeight="1" outlineLevel="1">
      <c r="C95" s="5"/>
      <c r="D95" s="26" t="s">
        <v>10</v>
      </c>
      <c r="E95" s="6"/>
      <c r="F95" s="6"/>
      <c r="G95" s="6"/>
      <c r="H95" s="9"/>
      <c r="I95" s="10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  <c r="FS95" s="28"/>
      <c r="FT95" s="28"/>
      <c r="FU95" s="28"/>
      <c r="FV95" s="28"/>
      <c r="FW95" s="28"/>
      <c r="FX95" s="28"/>
      <c r="FY95" s="28"/>
      <c r="FZ95" s="28"/>
      <c r="GA95" s="28"/>
      <c r="GB95" s="28"/>
      <c r="GC95" s="28"/>
      <c r="GD95" s="28"/>
      <c r="GE95" s="28"/>
      <c r="GF95" s="28"/>
      <c r="GG95" s="28"/>
      <c r="GH95" s="28"/>
      <c r="GI95" s="28"/>
      <c r="GJ95" s="28"/>
      <c r="GK95" s="28"/>
      <c r="GL95" s="28"/>
      <c r="GM95" s="28"/>
      <c r="GN95" s="28"/>
      <c r="GO95" s="28"/>
      <c r="GP95" s="28"/>
      <c r="GQ95" s="28"/>
      <c r="GR95" s="28"/>
      <c r="GS95" s="28"/>
      <c r="GT95" s="28"/>
      <c r="GU95" s="28"/>
      <c r="GV95" s="28"/>
      <c r="GW95" s="28"/>
      <c r="GX95" s="28"/>
      <c r="GY95" s="28"/>
      <c r="GZ95" s="28"/>
      <c r="HA95" s="28"/>
      <c r="HB95" s="28"/>
      <c r="HC95" s="28"/>
      <c r="HD95" s="28"/>
      <c r="HE95" s="28"/>
      <c r="HF95" s="28"/>
      <c r="HG95" s="28"/>
      <c r="HH95" s="28"/>
      <c r="HI95" s="28"/>
      <c r="HJ95" s="28"/>
      <c r="HK95" s="28"/>
      <c r="HL95" s="28"/>
      <c r="HM95" s="28"/>
      <c r="HN95" s="28"/>
      <c r="HO95" s="28"/>
      <c r="HP95" s="28"/>
      <c r="HQ95" s="28"/>
      <c r="HR95" s="28"/>
      <c r="HS95" s="28"/>
      <c r="HT95" s="28"/>
      <c r="HU95" s="28"/>
      <c r="HV95" s="28"/>
      <c r="HW95" s="28"/>
      <c r="HX95" s="28"/>
      <c r="HY95" s="28"/>
      <c r="HZ95" s="28"/>
      <c r="IA95" s="28"/>
      <c r="IB95" s="28"/>
      <c r="IC95" s="28"/>
      <c r="ID95" s="28"/>
      <c r="IE95" s="28"/>
      <c r="IF95" s="28"/>
      <c r="IG95" s="28"/>
      <c r="IH95" s="28"/>
      <c r="II95" s="28"/>
      <c r="IJ95" s="28"/>
      <c r="IK95" s="28"/>
      <c r="IL95" s="28"/>
      <c r="IM95" s="28"/>
      <c r="IN95" s="28"/>
      <c r="IO95" s="28"/>
      <c r="IP95" s="28"/>
      <c r="IQ95" s="28"/>
      <c r="IR95" s="28"/>
      <c r="IS95" s="28"/>
      <c r="IT95" s="28"/>
      <c r="IU95" s="28"/>
      <c r="IV95" s="28"/>
      <c r="IW95" s="28"/>
      <c r="IX95" s="28"/>
      <c r="IY95" s="28"/>
      <c r="IZ95" s="28"/>
      <c r="JA95" s="28"/>
      <c r="JB95" s="28"/>
      <c r="JC95" s="28"/>
      <c r="JD95" s="28"/>
      <c r="JE95" s="28"/>
      <c r="JF95" s="28"/>
      <c r="JG95" s="28"/>
      <c r="JH95" s="28"/>
      <c r="JI95" s="28"/>
    </row>
    <row r="96" spans="3:269" ht="18" hidden="1" customHeight="1" outlineLevel="1">
      <c r="C96" s="5"/>
      <c r="D96" s="26" t="s">
        <v>10</v>
      </c>
      <c r="E96" s="6"/>
      <c r="F96" s="6"/>
      <c r="G96" s="6"/>
      <c r="H96" s="9"/>
      <c r="I96" s="10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  <c r="GF96" s="28"/>
      <c r="GG96" s="28"/>
      <c r="GH96" s="28"/>
      <c r="GI96" s="28"/>
      <c r="GJ96" s="28"/>
      <c r="GK96" s="28"/>
      <c r="GL96" s="28"/>
      <c r="GM96" s="28"/>
      <c r="GN96" s="28"/>
      <c r="GO96" s="28"/>
      <c r="GP96" s="28"/>
      <c r="GQ96" s="28"/>
      <c r="GR96" s="28"/>
      <c r="GS96" s="28"/>
      <c r="GT96" s="28"/>
      <c r="GU96" s="28"/>
      <c r="GV96" s="28"/>
      <c r="GW96" s="28"/>
      <c r="GX96" s="28"/>
      <c r="GY96" s="28"/>
      <c r="GZ96" s="28"/>
      <c r="HA96" s="28"/>
      <c r="HB96" s="28"/>
      <c r="HC96" s="28"/>
      <c r="HD96" s="28"/>
      <c r="HE96" s="28"/>
      <c r="HF96" s="28"/>
      <c r="HG96" s="28"/>
      <c r="HH96" s="28"/>
      <c r="HI96" s="28"/>
      <c r="HJ96" s="28"/>
      <c r="HK96" s="28"/>
      <c r="HL96" s="28"/>
      <c r="HM96" s="28"/>
      <c r="HN96" s="28"/>
      <c r="HO96" s="28"/>
      <c r="HP96" s="28"/>
      <c r="HQ96" s="28"/>
      <c r="HR96" s="28"/>
      <c r="HS96" s="28"/>
      <c r="HT96" s="28"/>
      <c r="HU96" s="28"/>
      <c r="HV96" s="28"/>
      <c r="HW96" s="28"/>
      <c r="HX96" s="28"/>
      <c r="HY96" s="28"/>
      <c r="HZ96" s="28"/>
      <c r="IA96" s="28"/>
      <c r="IB96" s="28"/>
      <c r="IC96" s="28"/>
      <c r="ID96" s="28"/>
      <c r="IE96" s="28"/>
      <c r="IF96" s="28"/>
      <c r="IG96" s="28"/>
      <c r="IH96" s="28"/>
      <c r="II96" s="28"/>
      <c r="IJ96" s="28"/>
      <c r="IK96" s="28"/>
      <c r="IL96" s="28"/>
      <c r="IM96" s="28"/>
      <c r="IN96" s="28"/>
      <c r="IO96" s="28"/>
      <c r="IP96" s="28"/>
      <c r="IQ96" s="28"/>
      <c r="IR96" s="28"/>
      <c r="IS96" s="28"/>
      <c r="IT96" s="28"/>
      <c r="IU96" s="28"/>
      <c r="IV96" s="28"/>
      <c r="IW96" s="28"/>
      <c r="IX96" s="28"/>
      <c r="IY96" s="28"/>
      <c r="IZ96" s="28"/>
      <c r="JA96" s="28"/>
      <c r="JB96" s="28"/>
      <c r="JC96" s="28"/>
      <c r="JD96" s="28"/>
      <c r="JE96" s="28"/>
      <c r="JF96" s="28"/>
      <c r="JG96" s="28"/>
      <c r="JH96" s="28"/>
      <c r="JI96" s="28"/>
    </row>
    <row r="97" spans="3:269" ht="18" hidden="1" customHeight="1" outlineLevel="1">
      <c r="C97" s="5"/>
      <c r="D97" s="26" t="s">
        <v>10</v>
      </c>
      <c r="E97" s="6"/>
      <c r="F97" s="6"/>
      <c r="G97" s="6"/>
      <c r="H97" s="9"/>
      <c r="I97" s="10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  <c r="JI97" s="27"/>
    </row>
    <row r="98" spans="3:269" ht="18" hidden="1" customHeight="1" outlineLevel="1">
      <c r="C98" s="5"/>
      <c r="D98" s="26" t="s">
        <v>10</v>
      </c>
      <c r="E98" s="6"/>
      <c r="F98" s="6"/>
      <c r="G98" s="6"/>
      <c r="H98" s="9"/>
      <c r="I98" s="10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  <c r="JI98" s="27"/>
    </row>
    <row r="99" spans="3:269" ht="18" hidden="1" customHeight="1" outlineLevel="1">
      <c r="C99" s="5"/>
      <c r="D99" s="26" t="s">
        <v>10</v>
      </c>
      <c r="E99" s="6"/>
      <c r="F99" s="6"/>
      <c r="G99" s="6"/>
      <c r="H99" s="9"/>
      <c r="I99" s="10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  <c r="JI99" s="27"/>
    </row>
    <row r="100" spans="3:269" ht="18" hidden="1" customHeight="1" outlineLevel="1">
      <c r="C100" s="5"/>
      <c r="D100" s="26" t="s">
        <v>10</v>
      </c>
      <c r="E100" s="6"/>
      <c r="F100" s="6"/>
      <c r="G100" s="6"/>
      <c r="H100" s="9"/>
      <c r="I100" s="10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  <c r="JB100" s="27"/>
      <c r="JC100" s="27"/>
      <c r="JD100" s="27"/>
      <c r="JE100" s="27"/>
      <c r="JF100" s="27"/>
      <c r="JG100" s="27"/>
      <c r="JH100" s="27"/>
      <c r="JI100" s="27"/>
    </row>
    <row r="101" spans="3:269" ht="18" hidden="1" customHeight="1" outlineLevel="1">
      <c r="C101" s="5"/>
      <c r="D101" s="26" t="s">
        <v>10</v>
      </c>
      <c r="E101" s="6"/>
      <c r="F101" s="6"/>
      <c r="G101" s="6"/>
      <c r="H101" s="9"/>
      <c r="I101" s="10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F101" s="27"/>
      <c r="JG101" s="27"/>
      <c r="JH101" s="27"/>
      <c r="JI101" s="27"/>
    </row>
    <row r="102" spans="3:269" ht="18" hidden="1" customHeight="1" outlineLevel="1">
      <c r="C102" s="5"/>
      <c r="D102" s="26" t="s">
        <v>10</v>
      </c>
      <c r="E102" s="6"/>
      <c r="F102" s="6"/>
      <c r="G102" s="6"/>
      <c r="H102" s="9"/>
      <c r="I102" s="10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F102" s="27"/>
      <c r="JG102" s="27"/>
      <c r="JH102" s="27"/>
      <c r="JI102" s="27"/>
    </row>
    <row r="103" spans="3:269" ht="18" hidden="1" customHeight="1" outlineLevel="1">
      <c r="C103" s="5"/>
      <c r="D103" s="26" t="s">
        <v>10</v>
      </c>
      <c r="E103" s="6"/>
      <c r="F103" s="6"/>
      <c r="G103" s="6"/>
      <c r="H103" s="9"/>
      <c r="I103" s="10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F103" s="27"/>
      <c r="JG103" s="27"/>
      <c r="JH103" s="27"/>
      <c r="JI103" s="27"/>
    </row>
    <row r="104" spans="3:269" ht="18" hidden="1" customHeight="1" outlineLevel="1">
      <c r="C104" s="5"/>
      <c r="D104" s="26" t="s">
        <v>10</v>
      </c>
      <c r="E104" s="6"/>
      <c r="F104" s="6"/>
      <c r="G104" s="6"/>
      <c r="H104" s="9"/>
      <c r="I104" s="10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F104" s="27"/>
      <c r="JG104" s="27"/>
      <c r="JH104" s="27"/>
      <c r="JI104" s="27"/>
    </row>
    <row r="105" spans="3:269" ht="18" hidden="1" customHeight="1" outlineLevel="1">
      <c r="C105" s="5"/>
      <c r="D105" s="26" t="s">
        <v>10</v>
      </c>
      <c r="E105" s="6"/>
      <c r="F105" s="6"/>
      <c r="G105" s="6"/>
      <c r="H105" s="9"/>
      <c r="I105" s="10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F105" s="27"/>
      <c r="JG105" s="27"/>
      <c r="JH105" s="27"/>
      <c r="JI105" s="27"/>
    </row>
    <row r="106" spans="3:269" ht="18" hidden="1" customHeight="1" outlineLevel="1">
      <c r="C106" s="5"/>
      <c r="D106" s="26" t="s">
        <v>10</v>
      </c>
      <c r="E106" s="6"/>
      <c r="F106" s="6"/>
      <c r="G106" s="6"/>
      <c r="H106" s="9"/>
      <c r="I106" s="10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F106" s="27"/>
      <c r="JG106" s="27"/>
      <c r="JH106" s="27"/>
      <c r="JI106" s="27"/>
    </row>
    <row r="107" spans="3:269" ht="18" hidden="1" customHeight="1" outlineLevel="1">
      <c r="C107" s="5"/>
      <c r="D107" s="26" t="s">
        <v>10</v>
      </c>
      <c r="E107" s="6"/>
      <c r="F107" s="6"/>
      <c r="G107" s="6"/>
      <c r="H107" s="9"/>
      <c r="I107" s="10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F107" s="27"/>
      <c r="JG107" s="27"/>
      <c r="JH107" s="27"/>
      <c r="JI107" s="27"/>
    </row>
    <row r="108" spans="3:269" ht="18" hidden="1" customHeight="1" outlineLevel="1">
      <c r="C108" s="5"/>
      <c r="D108" s="26" t="s">
        <v>10</v>
      </c>
      <c r="E108" s="6"/>
      <c r="F108" s="6"/>
      <c r="G108" s="6"/>
      <c r="H108" s="9"/>
      <c r="I108" s="10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F108" s="27"/>
      <c r="JG108" s="27"/>
      <c r="JH108" s="27"/>
      <c r="JI108" s="27"/>
    </row>
    <row r="109" spans="3:269" ht="18" hidden="1" customHeight="1" outlineLevel="1">
      <c r="C109" s="5"/>
      <c r="D109" s="26" t="s">
        <v>10</v>
      </c>
      <c r="E109" s="6"/>
      <c r="F109" s="6"/>
      <c r="G109" s="6"/>
      <c r="H109" s="9"/>
      <c r="I109" s="10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F109" s="27"/>
      <c r="JG109" s="27"/>
      <c r="JH109" s="27"/>
      <c r="JI109" s="27"/>
    </row>
    <row r="110" spans="3:269" ht="18" customHeight="1" collapsed="1">
      <c r="C110" s="8" t="s">
        <v>18</v>
      </c>
      <c r="D110" s="11"/>
      <c r="E110" s="31"/>
      <c r="F110" s="12"/>
      <c r="G110" s="12"/>
      <c r="H110" s="29">
        <f>MIN(H111:H130)</f>
        <v>0</v>
      </c>
      <c r="I110" s="30">
        <f>MAX(I111:I130)</f>
        <v>0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8"/>
      <c r="T110" s="28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F110" s="27"/>
      <c r="JG110" s="27"/>
      <c r="JH110" s="27"/>
      <c r="JI110" s="27"/>
    </row>
    <row r="111" spans="3:269" ht="18" hidden="1" customHeight="1" outlineLevel="1">
      <c r="C111" s="5"/>
      <c r="D111" s="26" t="s">
        <v>10</v>
      </c>
      <c r="E111" s="6"/>
      <c r="F111" s="6"/>
      <c r="G111" s="6"/>
      <c r="H111" s="9"/>
      <c r="I111" s="10"/>
      <c r="J111" s="27"/>
      <c r="K111" s="27"/>
      <c r="L111" s="27"/>
      <c r="M111" s="27"/>
      <c r="N111" s="27"/>
      <c r="O111" s="27"/>
      <c r="P111" s="27"/>
      <c r="Q111" s="27"/>
      <c r="R111" s="27"/>
      <c r="S111" s="28"/>
      <c r="T111" s="28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F111" s="27"/>
      <c r="JG111" s="27"/>
      <c r="JH111" s="27"/>
      <c r="JI111" s="27"/>
    </row>
    <row r="112" spans="3:269" ht="18" hidden="1" customHeight="1" outlineLevel="1">
      <c r="C112" s="5"/>
      <c r="D112" s="26" t="s">
        <v>10</v>
      </c>
      <c r="E112" s="6"/>
      <c r="F112" s="6"/>
      <c r="G112" s="6"/>
      <c r="H112" s="9"/>
      <c r="I112" s="10"/>
      <c r="J112" s="27"/>
      <c r="K112" s="27"/>
      <c r="L112" s="27"/>
      <c r="M112" s="27"/>
      <c r="N112" s="27"/>
      <c r="O112" s="27"/>
      <c r="P112" s="27"/>
      <c r="Q112" s="27"/>
      <c r="R112" s="27"/>
      <c r="S112" s="28"/>
      <c r="T112" s="28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F112" s="27"/>
      <c r="JG112" s="27"/>
      <c r="JH112" s="27"/>
      <c r="JI112" s="27"/>
    </row>
    <row r="113" spans="3:269" ht="18" hidden="1" customHeight="1" outlineLevel="1">
      <c r="C113" s="5"/>
      <c r="D113" s="26" t="s">
        <v>10</v>
      </c>
      <c r="E113" s="6"/>
      <c r="F113" s="6"/>
      <c r="G113" s="6"/>
      <c r="H113" s="9"/>
      <c r="I113" s="10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  <c r="GF113" s="28"/>
      <c r="GG113" s="28"/>
      <c r="GH113" s="28"/>
      <c r="GI113" s="28"/>
      <c r="GJ113" s="28"/>
      <c r="GK113" s="28"/>
      <c r="GL113" s="28"/>
      <c r="GM113" s="28"/>
      <c r="GN113" s="28"/>
      <c r="GO113" s="28"/>
      <c r="GP113" s="28"/>
      <c r="GQ113" s="28"/>
      <c r="GR113" s="28"/>
      <c r="GS113" s="28"/>
      <c r="GT113" s="28"/>
      <c r="GU113" s="28"/>
      <c r="GV113" s="28"/>
      <c r="GW113" s="28"/>
      <c r="GX113" s="28"/>
      <c r="GY113" s="28"/>
      <c r="GZ113" s="28"/>
      <c r="HA113" s="28"/>
      <c r="HB113" s="28"/>
      <c r="HC113" s="28"/>
      <c r="HD113" s="28"/>
      <c r="HE113" s="28"/>
      <c r="HF113" s="28"/>
      <c r="HG113" s="28"/>
      <c r="HH113" s="28"/>
      <c r="HI113" s="28"/>
      <c r="HJ113" s="28"/>
      <c r="HK113" s="28"/>
      <c r="HL113" s="28"/>
      <c r="HM113" s="28"/>
      <c r="HN113" s="28"/>
      <c r="HO113" s="28"/>
      <c r="HP113" s="28"/>
      <c r="HQ113" s="28"/>
      <c r="HR113" s="28"/>
      <c r="HS113" s="28"/>
      <c r="HT113" s="28"/>
      <c r="HU113" s="28"/>
      <c r="HV113" s="28"/>
      <c r="HW113" s="28"/>
      <c r="HX113" s="28"/>
      <c r="HY113" s="28"/>
      <c r="HZ113" s="28"/>
      <c r="IA113" s="28"/>
      <c r="IB113" s="28"/>
      <c r="IC113" s="28"/>
      <c r="ID113" s="28"/>
      <c r="IE113" s="28"/>
      <c r="IF113" s="28"/>
      <c r="IG113" s="28"/>
      <c r="IH113" s="28"/>
      <c r="II113" s="28"/>
      <c r="IJ113" s="28"/>
      <c r="IK113" s="28"/>
      <c r="IL113" s="28"/>
      <c r="IM113" s="28"/>
      <c r="IN113" s="28"/>
      <c r="IO113" s="28"/>
      <c r="IP113" s="28"/>
      <c r="IQ113" s="28"/>
      <c r="IR113" s="28"/>
      <c r="IS113" s="28"/>
      <c r="IT113" s="28"/>
      <c r="IU113" s="28"/>
      <c r="IV113" s="28"/>
      <c r="IW113" s="28"/>
      <c r="IX113" s="28"/>
      <c r="IY113" s="28"/>
      <c r="IZ113" s="28"/>
      <c r="JA113" s="28"/>
      <c r="JB113" s="28"/>
      <c r="JC113" s="28"/>
      <c r="JD113" s="28"/>
      <c r="JE113" s="28"/>
      <c r="JF113" s="28"/>
      <c r="JG113" s="28"/>
      <c r="JH113" s="28"/>
      <c r="JI113" s="28"/>
    </row>
    <row r="114" spans="3:269" ht="18" hidden="1" customHeight="1" outlineLevel="1">
      <c r="C114" s="5"/>
      <c r="D114" s="26" t="s">
        <v>10</v>
      </c>
      <c r="E114" s="6"/>
      <c r="F114" s="6"/>
      <c r="G114" s="6"/>
      <c r="H114" s="9"/>
      <c r="I114" s="1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F114" s="27"/>
      <c r="JG114" s="27"/>
      <c r="JH114" s="27"/>
      <c r="JI114" s="27"/>
    </row>
    <row r="115" spans="3:269" ht="18" hidden="1" customHeight="1" outlineLevel="1">
      <c r="C115" s="5"/>
      <c r="D115" s="26" t="s">
        <v>10</v>
      </c>
      <c r="E115" s="6"/>
      <c r="F115" s="6"/>
      <c r="G115" s="6"/>
      <c r="H115" s="9"/>
      <c r="I115" s="1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  <c r="JI115" s="27"/>
    </row>
    <row r="116" spans="3:269" ht="18" hidden="1" customHeight="1" outlineLevel="1">
      <c r="C116" s="5"/>
      <c r="D116" s="26" t="s">
        <v>10</v>
      </c>
      <c r="E116" s="6"/>
      <c r="F116" s="6"/>
      <c r="G116" s="6"/>
      <c r="H116" s="9"/>
      <c r="I116" s="10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  <c r="FS116" s="28"/>
      <c r="FT116" s="28"/>
      <c r="FU116" s="28"/>
      <c r="FV116" s="28"/>
      <c r="FW116" s="28"/>
      <c r="FX116" s="28"/>
      <c r="FY116" s="28"/>
      <c r="FZ116" s="28"/>
      <c r="GA116" s="28"/>
      <c r="GB116" s="28"/>
      <c r="GC116" s="28"/>
      <c r="GD116" s="28"/>
      <c r="GE116" s="28"/>
      <c r="GF116" s="28"/>
      <c r="GG116" s="28"/>
      <c r="GH116" s="28"/>
      <c r="GI116" s="28"/>
      <c r="GJ116" s="28"/>
      <c r="GK116" s="28"/>
      <c r="GL116" s="28"/>
      <c r="GM116" s="28"/>
      <c r="GN116" s="28"/>
      <c r="GO116" s="28"/>
      <c r="GP116" s="28"/>
      <c r="GQ116" s="28"/>
      <c r="GR116" s="28"/>
      <c r="GS116" s="28"/>
      <c r="GT116" s="28"/>
      <c r="GU116" s="28"/>
      <c r="GV116" s="28"/>
      <c r="GW116" s="28"/>
      <c r="GX116" s="28"/>
      <c r="GY116" s="28"/>
      <c r="GZ116" s="28"/>
      <c r="HA116" s="28"/>
      <c r="HB116" s="28"/>
      <c r="HC116" s="28"/>
      <c r="HD116" s="28"/>
      <c r="HE116" s="28"/>
      <c r="HF116" s="28"/>
      <c r="HG116" s="28"/>
      <c r="HH116" s="28"/>
      <c r="HI116" s="28"/>
      <c r="HJ116" s="28"/>
      <c r="HK116" s="28"/>
      <c r="HL116" s="28"/>
      <c r="HM116" s="28"/>
      <c r="HN116" s="28"/>
      <c r="HO116" s="28"/>
      <c r="HP116" s="28"/>
      <c r="HQ116" s="28"/>
      <c r="HR116" s="28"/>
      <c r="HS116" s="28"/>
      <c r="HT116" s="28"/>
      <c r="HU116" s="28"/>
      <c r="HV116" s="28"/>
      <c r="HW116" s="28"/>
      <c r="HX116" s="28"/>
      <c r="HY116" s="28"/>
      <c r="HZ116" s="28"/>
      <c r="IA116" s="28"/>
      <c r="IB116" s="28"/>
      <c r="IC116" s="28"/>
      <c r="ID116" s="28"/>
      <c r="IE116" s="28"/>
      <c r="IF116" s="28"/>
      <c r="IG116" s="28"/>
      <c r="IH116" s="28"/>
      <c r="II116" s="28"/>
      <c r="IJ116" s="28"/>
      <c r="IK116" s="28"/>
      <c r="IL116" s="28"/>
      <c r="IM116" s="28"/>
      <c r="IN116" s="28"/>
      <c r="IO116" s="28"/>
      <c r="IP116" s="28"/>
      <c r="IQ116" s="28"/>
      <c r="IR116" s="28"/>
      <c r="IS116" s="28"/>
      <c r="IT116" s="28"/>
      <c r="IU116" s="28"/>
      <c r="IV116" s="28"/>
      <c r="IW116" s="28"/>
      <c r="IX116" s="28"/>
      <c r="IY116" s="28"/>
      <c r="IZ116" s="28"/>
      <c r="JA116" s="28"/>
      <c r="JB116" s="28"/>
      <c r="JC116" s="28"/>
      <c r="JD116" s="28"/>
      <c r="JE116" s="28"/>
      <c r="JF116" s="28"/>
      <c r="JG116" s="28"/>
      <c r="JH116" s="28"/>
      <c r="JI116" s="28"/>
    </row>
    <row r="117" spans="3:269" ht="18" hidden="1" customHeight="1" outlineLevel="1">
      <c r="C117" s="5"/>
      <c r="D117" s="26" t="s">
        <v>10</v>
      </c>
      <c r="E117" s="6"/>
      <c r="F117" s="6"/>
      <c r="G117" s="6"/>
      <c r="H117" s="9"/>
      <c r="I117" s="10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  <c r="FS117" s="28"/>
      <c r="FT117" s="28"/>
      <c r="FU117" s="28"/>
      <c r="FV117" s="28"/>
      <c r="FW117" s="28"/>
      <c r="FX117" s="28"/>
      <c r="FY117" s="28"/>
      <c r="FZ117" s="28"/>
      <c r="GA117" s="28"/>
      <c r="GB117" s="28"/>
      <c r="GC117" s="28"/>
      <c r="GD117" s="28"/>
      <c r="GE117" s="28"/>
      <c r="GF117" s="28"/>
      <c r="GG117" s="28"/>
      <c r="GH117" s="28"/>
      <c r="GI117" s="28"/>
      <c r="GJ117" s="28"/>
      <c r="GK117" s="28"/>
      <c r="GL117" s="28"/>
      <c r="GM117" s="28"/>
      <c r="GN117" s="28"/>
      <c r="GO117" s="28"/>
      <c r="GP117" s="28"/>
      <c r="GQ117" s="28"/>
      <c r="GR117" s="28"/>
      <c r="GS117" s="28"/>
      <c r="GT117" s="28"/>
      <c r="GU117" s="28"/>
      <c r="GV117" s="28"/>
      <c r="GW117" s="28"/>
      <c r="GX117" s="28"/>
      <c r="GY117" s="28"/>
      <c r="GZ117" s="28"/>
      <c r="HA117" s="28"/>
      <c r="HB117" s="28"/>
      <c r="HC117" s="28"/>
      <c r="HD117" s="28"/>
      <c r="HE117" s="28"/>
      <c r="HF117" s="28"/>
      <c r="HG117" s="28"/>
      <c r="HH117" s="28"/>
      <c r="HI117" s="28"/>
      <c r="HJ117" s="28"/>
      <c r="HK117" s="28"/>
      <c r="HL117" s="28"/>
      <c r="HM117" s="28"/>
      <c r="HN117" s="28"/>
      <c r="HO117" s="28"/>
      <c r="HP117" s="28"/>
      <c r="HQ117" s="28"/>
      <c r="HR117" s="28"/>
      <c r="HS117" s="28"/>
      <c r="HT117" s="28"/>
      <c r="HU117" s="28"/>
      <c r="HV117" s="28"/>
      <c r="HW117" s="28"/>
      <c r="HX117" s="28"/>
      <c r="HY117" s="28"/>
      <c r="HZ117" s="28"/>
      <c r="IA117" s="28"/>
      <c r="IB117" s="28"/>
      <c r="IC117" s="28"/>
      <c r="ID117" s="28"/>
      <c r="IE117" s="28"/>
      <c r="IF117" s="28"/>
      <c r="IG117" s="28"/>
      <c r="IH117" s="28"/>
      <c r="II117" s="28"/>
      <c r="IJ117" s="28"/>
      <c r="IK117" s="28"/>
      <c r="IL117" s="28"/>
      <c r="IM117" s="28"/>
      <c r="IN117" s="28"/>
      <c r="IO117" s="28"/>
      <c r="IP117" s="28"/>
      <c r="IQ117" s="28"/>
      <c r="IR117" s="28"/>
      <c r="IS117" s="28"/>
      <c r="IT117" s="28"/>
      <c r="IU117" s="28"/>
      <c r="IV117" s="28"/>
      <c r="IW117" s="28"/>
      <c r="IX117" s="28"/>
      <c r="IY117" s="28"/>
      <c r="IZ117" s="28"/>
      <c r="JA117" s="28"/>
      <c r="JB117" s="28"/>
      <c r="JC117" s="28"/>
      <c r="JD117" s="28"/>
      <c r="JE117" s="28"/>
      <c r="JF117" s="28"/>
      <c r="JG117" s="28"/>
      <c r="JH117" s="28"/>
      <c r="JI117" s="28"/>
    </row>
    <row r="118" spans="3:269" ht="18" hidden="1" customHeight="1" outlineLevel="1">
      <c r="C118" s="5"/>
      <c r="D118" s="26" t="s">
        <v>10</v>
      </c>
      <c r="E118" s="6"/>
      <c r="F118" s="6"/>
      <c r="G118" s="6"/>
      <c r="H118" s="9"/>
      <c r="I118" s="1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</row>
    <row r="119" spans="3:269" ht="18" hidden="1" customHeight="1" outlineLevel="1">
      <c r="C119" s="5"/>
      <c r="D119" s="26" t="s">
        <v>10</v>
      </c>
      <c r="E119" s="6"/>
      <c r="F119" s="6"/>
      <c r="G119" s="6"/>
      <c r="H119" s="9"/>
      <c r="I119" s="1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  <c r="JI119" s="27"/>
    </row>
    <row r="120" spans="3:269" ht="18" hidden="1" customHeight="1" outlineLevel="1">
      <c r="C120" s="5"/>
      <c r="D120" s="26" t="s">
        <v>10</v>
      </c>
      <c r="E120" s="6"/>
      <c r="F120" s="6"/>
      <c r="G120" s="6"/>
      <c r="H120" s="9"/>
      <c r="I120" s="1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F120" s="27"/>
      <c r="JG120" s="27"/>
      <c r="JH120" s="27"/>
      <c r="JI120" s="27"/>
    </row>
    <row r="121" spans="3:269" ht="18" hidden="1" customHeight="1" outlineLevel="1">
      <c r="C121" s="5"/>
      <c r="D121" s="26" t="s">
        <v>10</v>
      </c>
      <c r="E121" s="6"/>
      <c r="F121" s="6"/>
      <c r="G121" s="6"/>
      <c r="H121" s="9"/>
      <c r="I121" s="1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F121" s="27"/>
      <c r="JG121" s="27"/>
      <c r="JH121" s="27"/>
      <c r="JI121" s="27"/>
    </row>
    <row r="122" spans="3:269" ht="18" hidden="1" customHeight="1" outlineLevel="1">
      <c r="C122" s="5"/>
      <c r="D122" s="26" t="s">
        <v>10</v>
      </c>
      <c r="E122" s="6"/>
      <c r="F122" s="6"/>
      <c r="G122" s="6"/>
      <c r="H122" s="9"/>
      <c r="I122" s="1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F122" s="27"/>
      <c r="JG122" s="27"/>
      <c r="JH122" s="27"/>
      <c r="JI122" s="27"/>
    </row>
    <row r="123" spans="3:269" ht="18" hidden="1" customHeight="1" outlineLevel="1">
      <c r="C123" s="5"/>
      <c r="D123" s="26" t="s">
        <v>10</v>
      </c>
      <c r="E123" s="6"/>
      <c r="F123" s="6"/>
      <c r="G123" s="6"/>
      <c r="H123" s="9"/>
      <c r="I123" s="10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F123" s="27"/>
      <c r="JG123" s="27"/>
      <c r="JH123" s="27"/>
      <c r="JI123" s="27"/>
    </row>
    <row r="124" spans="3:269" ht="18" hidden="1" customHeight="1" outlineLevel="1">
      <c r="C124" s="5"/>
      <c r="D124" s="26" t="s">
        <v>10</v>
      </c>
      <c r="E124" s="6"/>
      <c r="F124" s="6"/>
      <c r="G124" s="6"/>
      <c r="H124" s="9"/>
      <c r="I124" s="10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F124" s="27"/>
      <c r="JG124" s="27"/>
      <c r="JH124" s="27"/>
      <c r="JI124" s="27"/>
    </row>
    <row r="125" spans="3:269" ht="18" hidden="1" customHeight="1" outlineLevel="1">
      <c r="C125" s="5"/>
      <c r="D125" s="26" t="s">
        <v>10</v>
      </c>
      <c r="E125" s="6"/>
      <c r="F125" s="6"/>
      <c r="G125" s="6"/>
      <c r="H125" s="9"/>
      <c r="I125" s="10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F125" s="27"/>
      <c r="JG125" s="27"/>
      <c r="JH125" s="27"/>
      <c r="JI125" s="27"/>
    </row>
    <row r="126" spans="3:269" ht="18" hidden="1" customHeight="1" outlineLevel="1">
      <c r="C126" s="5"/>
      <c r="D126" s="26" t="s">
        <v>10</v>
      </c>
      <c r="E126" s="6"/>
      <c r="F126" s="6"/>
      <c r="G126" s="6"/>
      <c r="H126" s="9"/>
      <c r="I126" s="10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F126" s="27"/>
      <c r="JG126" s="27"/>
      <c r="JH126" s="27"/>
      <c r="JI126" s="27"/>
    </row>
    <row r="127" spans="3:269" ht="18" hidden="1" customHeight="1" outlineLevel="1">
      <c r="C127" s="5"/>
      <c r="D127" s="26" t="s">
        <v>10</v>
      </c>
      <c r="E127" s="6"/>
      <c r="F127" s="6"/>
      <c r="G127" s="6"/>
      <c r="H127" s="9"/>
      <c r="I127" s="10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F127" s="27"/>
      <c r="JG127" s="27"/>
      <c r="JH127" s="27"/>
      <c r="JI127" s="27"/>
    </row>
    <row r="128" spans="3:269" ht="18" hidden="1" customHeight="1" outlineLevel="1">
      <c r="C128" s="5"/>
      <c r="D128" s="26" t="s">
        <v>10</v>
      </c>
      <c r="E128" s="6"/>
      <c r="F128" s="6"/>
      <c r="G128" s="6"/>
      <c r="H128" s="9"/>
      <c r="I128" s="10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F128" s="27"/>
      <c r="JG128" s="27"/>
      <c r="JH128" s="27"/>
      <c r="JI128" s="27"/>
    </row>
    <row r="129" spans="3:269" ht="18" hidden="1" customHeight="1" outlineLevel="1">
      <c r="C129" s="5"/>
      <c r="D129" s="26" t="s">
        <v>10</v>
      </c>
      <c r="E129" s="6"/>
      <c r="F129" s="6"/>
      <c r="G129" s="6"/>
      <c r="H129" s="9"/>
      <c r="I129" s="10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F129" s="27"/>
      <c r="JG129" s="27"/>
      <c r="JH129" s="27"/>
      <c r="JI129" s="27"/>
    </row>
    <row r="130" spans="3:269" ht="18" hidden="1" customHeight="1" outlineLevel="1">
      <c r="C130" s="5"/>
      <c r="D130" s="26" t="s">
        <v>10</v>
      </c>
      <c r="E130" s="6"/>
      <c r="F130" s="6"/>
      <c r="G130" s="6"/>
      <c r="H130" s="9"/>
      <c r="I130" s="10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F130" s="27"/>
      <c r="JG130" s="27"/>
      <c r="JH130" s="27"/>
      <c r="JI130" s="27"/>
    </row>
    <row r="131" spans="3:269" ht="18" customHeight="1" collapsed="1">
      <c r="C131" s="8" t="s">
        <v>19</v>
      </c>
      <c r="D131" s="11"/>
      <c r="E131" s="31"/>
      <c r="F131" s="12"/>
      <c r="G131" s="12"/>
      <c r="H131" s="29">
        <f>MIN(H132:H151)</f>
        <v>0</v>
      </c>
      <c r="I131" s="30">
        <f>MAX(I132:I151)</f>
        <v>0</v>
      </c>
      <c r="J131" s="27"/>
      <c r="K131" s="27"/>
      <c r="L131" s="27"/>
      <c r="M131" s="27"/>
      <c r="N131" s="27"/>
      <c r="O131" s="27"/>
      <c r="P131" s="27"/>
      <c r="Q131" s="27"/>
      <c r="R131" s="27"/>
      <c r="S131" s="28"/>
      <c r="T131" s="28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F131" s="27"/>
      <c r="JG131" s="27"/>
      <c r="JH131" s="27"/>
      <c r="JI131" s="27"/>
    </row>
    <row r="132" spans="3:269" ht="18" hidden="1" customHeight="1" outlineLevel="1">
      <c r="C132" s="5"/>
      <c r="D132" s="26" t="s">
        <v>10</v>
      </c>
      <c r="E132" s="6"/>
      <c r="F132" s="6"/>
      <c r="G132" s="6"/>
      <c r="H132" s="9"/>
      <c r="I132" s="10"/>
      <c r="J132" s="27"/>
      <c r="K132" s="27"/>
      <c r="L132" s="27"/>
      <c r="M132" s="27"/>
      <c r="N132" s="27"/>
      <c r="O132" s="27"/>
      <c r="P132" s="27"/>
      <c r="Q132" s="27"/>
      <c r="R132" s="27"/>
      <c r="S132" s="28"/>
      <c r="T132" s="28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F132" s="27"/>
      <c r="JG132" s="27"/>
      <c r="JH132" s="27"/>
      <c r="JI132" s="27"/>
    </row>
    <row r="133" spans="3:269" ht="18" hidden="1" customHeight="1" outlineLevel="1">
      <c r="C133" s="5"/>
      <c r="D133" s="26" t="s">
        <v>10</v>
      </c>
      <c r="E133" s="6"/>
      <c r="F133" s="6"/>
      <c r="G133" s="6"/>
      <c r="H133" s="9"/>
      <c r="I133" s="10"/>
      <c r="J133" s="27"/>
      <c r="K133" s="27"/>
      <c r="L133" s="27"/>
      <c r="M133" s="27"/>
      <c r="N133" s="27"/>
      <c r="O133" s="27"/>
      <c r="P133" s="27"/>
      <c r="Q133" s="27"/>
      <c r="R133" s="27"/>
      <c r="S133" s="28"/>
      <c r="T133" s="28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F133" s="27"/>
      <c r="JG133" s="27"/>
      <c r="JH133" s="27"/>
      <c r="JI133" s="27"/>
    </row>
    <row r="134" spans="3:269" ht="18" hidden="1" customHeight="1" outlineLevel="1">
      <c r="C134" s="5"/>
      <c r="D134" s="26" t="s">
        <v>10</v>
      </c>
      <c r="E134" s="6"/>
      <c r="F134" s="6"/>
      <c r="G134" s="6"/>
      <c r="H134" s="9"/>
      <c r="I134" s="10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  <c r="GE134" s="28"/>
      <c r="GF134" s="28"/>
      <c r="GG134" s="28"/>
      <c r="GH134" s="28"/>
      <c r="GI134" s="28"/>
      <c r="GJ134" s="28"/>
      <c r="GK134" s="28"/>
      <c r="GL134" s="28"/>
      <c r="GM134" s="28"/>
      <c r="GN134" s="28"/>
      <c r="GO134" s="28"/>
      <c r="GP134" s="28"/>
      <c r="GQ134" s="28"/>
      <c r="GR134" s="28"/>
      <c r="GS134" s="28"/>
      <c r="GT134" s="28"/>
      <c r="GU134" s="28"/>
      <c r="GV134" s="28"/>
      <c r="GW134" s="28"/>
      <c r="GX134" s="28"/>
      <c r="GY134" s="28"/>
      <c r="GZ134" s="28"/>
      <c r="HA134" s="28"/>
      <c r="HB134" s="28"/>
      <c r="HC134" s="28"/>
      <c r="HD134" s="28"/>
      <c r="HE134" s="28"/>
      <c r="HF134" s="28"/>
      <c r="HG134" s="28"/>
      <c r="HH134" s="28"/>
      <c r="HI134" s="28"/>
      <c r="HJ134" s="28"/>
      <c r="HK134" s="28"/>
      <c r="HL134" s="28"/>
      <c r="HM134" s="28"/>
      <c r="HN134" s="28"/>
      <c r="HO134" s="28"/>
      <c r="HP134" s="28"/>
      <c r="HQ134" s="28"/>
      <c r="HR134" s="28"/>
      <c r="HS134" s="28"/>
      <c r="HT134" s="28"/>
      <c r="HU134" s="28"/>
      <c r="HV134" s="28"/>
      <c r="HW134" s="28"/>
      <c r="HX134" s="28"/>
      <c r="HY134" s="28"/>
      <c r="HZ134" s="28"/>
      <c r="IA134" s="28"/>
      <c r="IB134" s="28"/>
      <c r="IC134" s="28"/>
      <c r="ID134" s="28"/>
      <c r="IE134" s="28"/>
      <c r="IF134" s="28"/>
      <c r="IG134" s="28"/>
      <c r="IH134" s="28"/>
      <c r="II134" s="28"/>
      <c r="IJ134" s="28"/>
      <c r="IK134" s="28"/>
      <c r="IL134" s="28"/>
      <c r="IM134" s="28"/>
      <c r="IN134" s="28"/>
      <c r="IO134" s="28"/>
      <c r="IP134" s="28"/>
      <c r="IQ134" s="28"/>
      <c r="IR134" s="28"/>
      <c r="IS134" s="28"/>
      <c r="IT134" s="28"/>
      <c r="IU134" s="28"/>
      <c r="IV134" s="28"/>
      <c r="IW134" s="28"/>
      <c r="IX134" s="28"/>
      <c r="IY134" s="28"/>
      <c r="IZ134" s="28"/>
      <c r="JA134" s="28"/>
      <c r="JB134" s="28"/>
      <c r="JC134" s="28"/>
      <c r="JD134" s="28"/>
      <c r="JE134" s="28"/>
      <c r="JF134" s="28"/>
      <c r="JG134" s="28"/>
      <c r="JH134" s="28"/>
      <c r="JI134" s="28"/>
    </row>
    <row r="135" spans="3:269" ht="18" hidden="1" customHeight="1" outlineLevel="1">
      <c r="C135" s="5"/>
      <c r="D135" s="26" t="s">
        <v>10</v>
      </c>
      <c r="E135" s="6"/>
      <c r="F135" s="6"/>
      <c r="G135" s="6"/>
      <c r="H135" s="9"/>
      <c r="I135" s="10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  <c r="JI135" s="27"/>
    </row>
    <row r="136" spans="3:269" ht="18" hidden="1" customHeight="1" outlineLevel="1">
      <c r="C136" s="5"/>
      <c r="D136" s="26" t="s">
        <v>10</v>
      </c>
      <c r="E136" s="6"/>
      <c r="F136" s="6"/>
      <c r="G136" s="6"/>
      <c r="H136" s="9"/>
      <c r="I136" s="10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F136" s="27"/>
      <c r="JG136" s="27"/>
      <c r="JH136" s="27"/>
      <c r="JI136" s="27"/>
    </row>
    <row r="137" spans="3:269" ht="18" hidden="1" customHeight="1" outlineLevel="1">
      <c r="C137" s="5"/>
      <c r="D137" s="26" t="s">
        <v>10</v>
      </c>
      <c r="E137" s="6"/>
      <c r="F137" s="6"/>
      <c r="G137" s="6"/>
      <c r="H137" s="9"/>
      <c r="I137" s="10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  <c r="FS137" s="28"/>
      <c r="FT137" s="28"/>
      <c r="FU137" s="28"/>
      <c r="FV137" s="28"/>
      <c r="FW137" s="28"/>
      <c r="FX137" s="28"/>
      <c r="FY137" s="28"/>
      <c r="FZ137" s="28"/>
      <c r="GA137" s="28"/>
      <c r="GB137" s="28"/>
      <c r="GC137" s="28"/>
      <c r="GD137" s="28"/>
      <c r="GE137" s="28"/>
      <c r="GF137" s="28"/>
      <c r="GG137" s="28"/>
      <c r="GH137" s="28"/>
      <c r="GI137" s="28"/>
      <c r="GJ137" s="28"/>
      <c r="GK137" s="28"/>
      <c r="GL137" s="28"/>
      <c r="GM137" s="28"/>
      <c r="GN137" s="28"/>
      <c r="GO137" s="28"/>
      <c r="GP137" s="28"/>
      <c r="GQ137" s="28"/>
      <c r="GR137" s="28"/>
      <c r="GS137" s="28"/>
      <c r="GT137" s="28"/>
      <c r="GU137" s="28"/>
      <c r="GV137" s="28"/>
      <c r="GW137" s="28"/>
      <c r="GX137" s="28"/>
      <c r="GY137" s="28"/>
      <c r="GZ137" s="28"/>
      <c r="HA137" s="28"/>
      <c r="HB137" s="28"/>
      <c r="HC137" s="28"/>
      <c r="HD137" s="28"/>
      <c r="HE137" s="28"/>
      <c r="HF137" s="28"/>
      <c r="HG137" s="28"/>
      <c r="HH137" s="28"/>
      <c r="HI137" s="28"/>
      <c r="HJ137" s="28"/>
      <c r="HK137" s="28"/>
      <c r="HL137" s="28"/>
      <c r="HM137" s="28"/>
      <c r="HN137" s="28"/>
      <c r="HO137" s="28"/>
      <c r="HP137" s="28"/>
      <c r="HQ137" s="28"/>
      <c r="HR137" s="28"/>
      <c r="HS137" s="28"/>
      <c r="HT137" s="28"/>
      <c r="HU137" s="28"/>
      <c r="HV137" s="28"/>
      <c r="HW137" s="28"/>
      <c r="HX137" s="28"/>
      <c r="HY137" s="28"/>
      <c r="HZ137" s="28"/>
      <c r="IA137" s="28"/>
      <c r="IB137" s="28"/>
      <c r="IC137" s="28"/>
      <c r="ID137" s="28"/>
      <c r="IE137" s="28"/>
      <c r="IF137" s="28"/>
      <c r="IG137" s="28"/>
      <c r="IH137" s="28"/>
      <c r="II137" s="28"/>
      <c r="IJ137" s="28"/>
      <c r="IK137" s="28"/>
      <c r="IL137" s="28"/>
      <c r="IM137" s="28"/>
      <c r="IN137" s="28"/>
      <c r="IO137" s="28"/>
      <c r="IP137" s="28"/>
      <c r="IQ137" s="28"/>
      <c r="IR137" s="28"/>
      <c r="IS137" s="28"/>
      <c r="IT137" s="28"/>
      <c r="IU137" s="28"/>
      <c r="IV137" s="28"/>
      <c r="IW137" s="28"/>
      <c r="IX137" s="28"/>
      <c r="IY137" s="28"/>
      <c r="IZ137" s="28"/>
      <c r="JA137" s="28"/>
      <c r="JB137" s="28"/>
      <c r="JC137" s="28"/>
      <c r="JD137" s="28"/>
      <c r="JE137" s="28"/>
      <c r="JF137" s="28"/>
      <c r="JG137" s="28"/>
      <c r="JH137" s="28"/>
      <c r="JI137" s="28"/>
    </row>
    <row r="138" spans="3:269" ht="18" hidden="1" customHeight="1" outlineLevel="1">
      <c r="C138" s="5"/>
      <c r="D138" s="26" t="s">
        <v>10</v>
      </c>
      <c r="E138" s="6"/>
      <c r="F138" s="6"/>
      <c r="G138" s="6"/>
      <c r="H138" s="9"/>
      <c r="I138" s="10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8"/>
      <c r="FT138" s="28"/>
      <c r="FU138" s="28"/>
      <c r="FV138" s="28"/>
      <c r="FW138" s="28"/>
      <c r="FX138" s="28"/>
      <c r="FY138" s="28"/>
      <c r="FZ138" s="28"/>
      <c r="GA138" s="28"/>
      <c r="GB138" s="28"/>
      <c r="GC138" s="28"/>
      <c r="GD138" s="28"/>
      <c r="GE138" s="28"/>
      <c r="GF138" s="28"/>
      <c r="GG138" s="28"/>
      <c r="GH138" s="28"/>
      <c r="GI138" s="28"/>
      <c r="GJ138" s="28"/>
      <c r="GK138" s="28"/>
      <c r="GL138" s="28"/>
      <c r="GM138" s="28"/>
      <c r="GN138" s="28"/>
      <c r="GO138" s="28"/>
      <c r="GP138" s="28"/>
      <c r="GQ138" s="28"/>
      <c r="GR138" s="28"/>
      <c r="GS138" s="28"/>
      <c r="GT138" s="28"/>
      <c r="GU138" s="28"/>
      <c r="GV138" s="28"/>
      <c r="GW138" s="28"/>
      <c r="GX138" s="28"/>
      <c r="GY138" s="28"/>
      <c r="GZ138" s="28"/>
      <c r="HA138" s="28"/>
      <c r="HB138" s="28"/>
      <c r="HC138" s="28"/>
      <c r="HD138" s="28"/>
      <c r="HE138" s="28"/>
      <c r="HF138" s="28"/>
      <c r="HG138" s="28"/>
      <c r="HH138" s="28"/>
      <c r="HI138" s="28"/>
      <c r="HJ138" s="28"/>
      <c r="HK138" s="28"/>
      <c r="HL138" s="28"/>
      <c r="HM138" s="28"/>
      <c r="HN138" s="28"/>
      <c r="HO138" s="28"/>
      <c r="HP138" s="28"/>
      <c r="HQ138" s="28"/>
      <c r="HR138" s="28"/>
      <c r="HS138" s="28"/>
      <c r="HT138" s="28"/>
      <c r="HU138" s="28"/>
      <c r="HV138" s="28"/>
      <c r="HW138" s="28"/>
      <c r="HX138" s="28"/>
      <c r="HY138" s="28"/>
      <c r="HZ138" s="28"/>
      <c r="IA138" s="28"/>
      <c r="IB138" s="28"/>
      <c r="IC138" s="28"/>
      <c r="ID138" s="28"/>
      <c r="IE138" s="28"/>
      <c r="IF138" s="28"/>
      <c r="IG138" s="28"/>
      <c r="IH138" s="28"/>
      <c r="II138" s="28"/>
      <c r="IJ138" s="28"/>
      <c r="IK138" s="28"/>
      <c r="IL138" s="28"/>
      <c r="IM138" s="28"/>
      <c r="IN138" s="28"/>
      <c r="IO138" s="28"/>
      <c r="IP138" s="28"/>
      <c r="IQ138" s="28"/>
      <c r="IR138" s="28"/>
      <c r="IS138" s="28"/>
      <c r="IT138" s="28"/>
      <c r="IU138" s="28"/>
      <c r="IV138" s="28"/>
      <c r="IW138" s="28"/>
      <c r="IX138" s="28"/>
      <c r="IY138" s="28"/>
      <c r="IZ138" s="28"/>
      <c r="JA138" s="28"/>
      <c r="JB138" s="28"/>
      <c r="JC138" s="28"/>
      <c r="JD138" s="28"/>
      <c r="JE138" s="28"/>
      <c r="JF138" s="28"/>
      <c r="JG138" s="28"/>
      <c r="JH138" s="28"/>
      <c r="JI138" s="28"/>
    </row>
    <row r="139" spans="3:269" ht="18" hidden="1" customHeight="1" outlineLevel="1">
      <c r="C139" s="5"/>
      <c r="D139" s="26" t="s">
        <v>10</v>
      </c>
      <c r="E139" s="6"/>
      <c r="F139" s="6"/>
      <c r="G139" s="6"/>
      <c r="H139" s="9"/>
      <c r="I139" s="10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F139" s="27"/>
      <c r="JG139" s="27"/>
      <c r="JH139" s="27"/>
      <c r="JI139" s="27"/>
    </row>
    <row r="140" spans="3:269" ht="18" hidden="1" customHeight="1" outlineLevel="1">
      <c r="C140" s="5"/>
      <c r="D140" s="26" t="s">
        <v>10</v>
      </c>
      <c r="E140" s="6"/>
      <c r="F140" s="6"/>
      <c r="G140" s="6"/>
      <c r="H140" s="9"/>
      <c r="I140" s="10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F140" s="27"/>
      <c r="JG140" s="27"/>
      <c r="JH140" s="27"/>
      <c r="JI140" s="27"/>
    </row>
    <row r="141" spans="3:269" ht="18" hidden="1" customHeight="1" outlineLevel="1">
      <c r="C141" s="5"/>
      <c r="D141" s="26" t="s">
        <v>10</v>
      </c>
      <c r="E141" s="6"/>
      <c r="F141" s="6"/>
      <c r="G141" s="6"/>
      <c r="H141" s="9"/>
      <c r="I141" s="10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  <c r="JI141" s="27"/>
    </row>
    <row r="142" spans="3:269" ht="18" hidden="1" customHeight="1" outlineLevel="1">
      <c r="C142" s="5"/>
      <c r="D142" s="26" t="s">
        <v>10</v>
      </c>
      <c r="E142" s="6"/>
      <c r="F142" s="6"/>
      <c r="G142" s="6"/>
      <c r="H142" s="9"/>
      <c r="I142" s="10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F142" s="27"/>
      <c r="JG142" s="27"/>
      <c r="JH142" s="27"/>
      <c r="JI142" s="27"/>
    </row>
    <row r="143" spans="3:269" ht="18" hidden="1" customHeight="1" outlineLevel="1">
      <c r="C143" s="5"/>
      <c r="D143" s="26" t="s">
        <v>10</v>
      </c>
      <c r="E143" s="6"/>
      <c r="F143" s="6"/>
      <c r="G143" s="6"/>
      <c r="H143" s="9"/>
      <c r="I143" s="10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  <c r="JI143" s="27"/>
    </row>
    <row r="144" spans="3:269" ht="18" hidden="1" customHeight="1" outlineLevel="1">
      <c r="C144" s="5"/>
      <c r="D144" s="26" t="s">
        <v>10</v>
      </c>
      <c r="E144" s="6"/>
      <c r="F144" s="6"/>
      <c r="G144" s="6"/>
      <c r="H144" s="9"/>
      <c r="I144" s="10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  <c r="JI144" s="27"/>
    </row>
    <row r="145" spans="3:269" ht="18" hidden="1" customHeight="1" outlineLevel="1">
      <c r="C145" s="5"/>
      <c r="D145" s="26" t="s">
        <v>10</v>
      </c>
      <c r="E145" s="6"/>
      <c r="F145" s="6"/>
      <c r="G145" s="6"/>
      <c r="H145" s="9"/>
      <c r="I145" s="10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  <c r="JI145" s="27"/>
    </row>
    <row r="146" spans="3:269" ht="18" hidden="1" customHeight="1" outlineLevel="1">
      <c r="C146" s="5"/>
      <c r="D146" s="26" t="s">
        <v>10</v>
      </c>
      <c r="E146" s="6"/>
      <c r="F146" s="6"/>
      <c r="G146" s="6"/>
      <c r="H146" s="9"/>
      <c r="I146" s="10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  <c r="JI146" s="27"/>
    </row>
    <row r="147" spans="3:269" ht="18" hidden="1" customHeight="1" outlineLevel="1">
      <c r="C147" s="5"/>
      <c r="D147" s="26" t="s">
        <v>10</v>
      </c>
      <c r="E147" s="6"/>
      <c r="F147" s="6"/>
      <c r="G147" s="6"/>
      <c r="H147" s="9"/>
      <c r="I147" s="10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  <c r="JB147" s="27"/>
      <c r="JC147" s="27"/>
      <c r="JD147" s="27"/>
      <c r="JE147" s="27"/>
      <c r="JF147" s="27"/>
      <c r="JG147" s="27"/>
      <c r="JH147" s="27"/>
      <c r="JI147" s="27"/>
    </row>
    <row r="148" spans="3:269" ht="18" hidden="1" customHeight="1" outlineLevel="1">
      <c r="C148" s="5"/>
      <c r="D148" s="26" t="s">
        <v>10</v>
      </c>
      <c r="E148" s="6"/>
      <c r="F148" s="6"/>
      <c r="G148" s="6"/>
      <c r="H148" s="9"/>
      <c r="I148" s="10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  <c r="JI148" s="27"/>
    </row>
    <row r="149" spans="3:269" ht="18" hidden="1" customHeight="1" outlineLevel="1">
      <c r="C149" s="5"/>
      <c r="D149" s="26" t="s">
        <v>10</v>
      </c>
      <c r="E149" s="6"/>
      <c r="F149" s="6"/>
      <c r="G149" s="6"/>
      <c r="H149" s="9"/>
      <c r="I149" s="10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  <c r="JB149" s="27"/>
      <c r="JC149" s="27"/>
      <c r="JD149" s="27"/>
      <c r="JE149" s="27"/>
      <c r="JF149" s="27"/>
      <c r="JG149" s="27"/>
      <c r="JH149" s="27"/>
      <c r="JI149" s="27"/>
    </row>
    <row r="150" spans="3:269" ht="18" hidden="1" customHeight="1" outlineLevel="1">
      <c r="C150" s="5"/>
      <c r="D150" s="26" t="s">
        <v>10</v>
      </c>
      <c r="E150" s="6"/>
      <c r="F150" s="6"/>
      <c r="G150" s="6"/>
      <c r="H150" s="9"/>
      <c r="I150" s="10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  <c r="JB150" s="27"/>
      <c r="JC150" s="27"/>
      <c r="JD150" s="27"/>
      <c r="JE150" s="27"/>
      <c r="JF150" s="27"/>
      <c r="JG150" s="27"/>
      <c r="JH150" s="27"/>
      <c r="JI150" s="27"/>
    </row>
    <row r="151" spans="3:269" ht="18" hidden="1" customHeight="1" outlineLevel="1">
      <c r="C151" s="5"/>
      <c r="D151" s="26" t="s">
        <v>10</v>
      </c>
      <c r="E151" s="6"/>
      <c r="F151" s="6"/>
      <c r="G151" s="6"/>
      <c r="H151" s="9"/>
      <c r="I151" s="10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  <c r="IO151" s="27"/>
      <c r="IP151" s="27"/>
      <c r="IQ151" s="27"/>
      <c r="IR151" s="27"/>
      <c r="IS151" s="27"/>
      <c r="IT151" s="27"/>
      <c r="IU151" s="27"/>
      <c r="IV151" s="27"/>
      <c r="IW151" s="27"/>
      <c r="IX151" s="27"/>
      <c r="IY151" s="27"/>
      <c r="IZ151" s="27"/>
      <c r="JA151" s="27"/>
      <c r="JB151" s="27"/>
      <c r="JC151" s="27"/>
      <c r="JD151" s="27"/>
      <c r="JE151" s="27"/>
      <c r="JF151" s="27"/>
      <c r="JG151" s="27"/>
      <c r="JH151" s="27"/>
      <c r="JI151" s="27"/>
    </row>
    <row r="152" spans="3:269" ht="18" customHeight="1" collapsed="1">
      <c r="C152" s="8" t="s">
        <v>20</v>
      </c>
      <c r="D152" s="11"/>
      <c r="E152" s="31"/>
      <c r="F152" s="12"/>
      <c r="G152" s="12"/>
      <c r="H152" s="29">
        <f>MIN(H153:H172)</f>
        <v>0</v>
      </c>
      <c r="I152" s="30">
        <f>MAX(I153:I172)</f>
        <v>0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8"/>
      <c r="T152" s="28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  <c r="IT152" s="27"/>
      <c r="IU152" s="27"/>
      <c r="IV152" s="27"/>
      <c r="IW152" s="27"/>
      <c r="IX152" s="27"/>
      <c r="IY152" s="27"/>
      <c r="IZ152" s="27"/>
      <c r="JA152" s="27"/>
      <c r="JB152" s="27"/>
      <c r="JC152" s="27"/>
      <c r="JD152" s="27"/>
      <c r="JE152" s="27"/>
      <c r="JF152" s="27"/>
      <c r="JG152" s="27"/>
      <c r="JH152" s="27"/>
      <c r="JI152" s="27"/>
    </row>
    <row r="153" spans="3:269" ht="18" hidden="1" customHeight="1" outlineLevel="1">
      <c r="C153" s="5"/>
      <c r="D153" s="26" t="s">
        <v>10</v>
      </c>
      <c r="E153" s="6"/>
      <c r="F153" s="6"/>
      <c r="G153" s="6"/>
      <c r="H153" s="9"/>
      <c r="I153" s="10"/>
      <c r="J153" s="27"/>
      <c r="K153" s="27"/>
      <c r="L153" s="27"/>
      <c r="M153" s="27"/>
      <c r="N153" s="27"/>
      <c r="O153" s="27"/>
      <c r="P153" s="27"/>
      <c r="Q153" s="27"/>
      <c r="R153" s="27"/>
      <c r="S153" s="28"/>
      <c r="T153" s="28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  <c r="IO153" s="27"/>
      <c r="IP153" s="27"/>
      <c r="IQ153" s="27"/>
      <c r="IR153" s="27"/>
      <c r="IS153" s="27"/>
      <c r="IT153" s="27"/>
      <c r="IU153" s="27"/>
      <c r="IV153" s="27"/>
      <c r="IW153" s="27"/>
      <c r="IX153" s="27"/>
      <c r="IY153" s="27"/>
      <c r="IZ153" s="27"/>
      <c r="JA153" s="27"/>
      <c r="JB153" s="27"/>
      <c r="JC153" s="27"/>
      <c r="JD153" s="27"/>
      <c r="JE153" s="27"/>
      <c r="JF153" s="27"/>
      <c r="JG153" s="27"/>
      <c r="JH153" s="27"/>
      <c r="JI153" s="27"/>
    </row>
    <row r="154" spans="3:269" ht="18" hidden="1" customHeight="1" outlineLevel="1">
      <c r="C154" s="5"/>
      <c r="D154" s="26" t="s">
        <v>10</v>
      </c>
      <c r="E154" s="6"/>
      <c r="F154" s="6"/>
      <c r="G154" s="6"/>
      <c r="H154" s="9"/>
      <c r="I154" s="10"/>
      <c r="J154" s="27"/>
      <c r="K154" s="27"/>
      <c r="L154" s="27"/>
      <c r="M154" s="27"/>
      <c r="N154" s="27"/>
      <c r="O154" s="27"/>
      <c r="P154" s="27"/>
      <c r="Q154" s="27"/>
      <c r="R154" s="27"/>
      <c r="S154" s="28"/>
      <c r="T154" s="28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  <c r="IT154" s="27"/>
      <c r="IU154" s="27"/>
      <c r="IV154" s="27"/>
      <c r="IW154" s="27"/>
      <c r="IX154" s="27"/>
      <c r="IY154" s="27"/>
      <c r="IZ154" s="27"/>
      <c r="JA154" s="27"/>
      <c r="JB154" s="27"/>
      <c r="JC154" s="27"/>
      <c r="JD154" s="27"/>
      <c r="JE154" s="27"/>
      <c r="JF154" s="27"/>
      <c r="JG154" s="27"/>
      <c r="JH154" s="27"/>
      <c r="JI154" s="27"/>
    </row>
    <row r="155" spans="3:269" ht="18" hidden="1" customHeight="1" outlineLevel="1">
      <c r="C155" s="5"/>
      <c r="D155" s="26" t="s">
        <v>10</v>
      </c>
      <c r="E155" s="6"/>
      <c r="F155" s="6"/>
      <c r="G155" s="6"/>
      <c r="H155" s="9"/>
      <c r="I155" s="10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  <c r="GF155" s="28"/>
      <c r="GG155" s="28"/>
      <c r="GH155" s="28"/>
      <c r="GI155" s="28"/>
      <c r="GJ155" s="28"/>
      <c r="GK155" s="28"/>
      <c r="GL155" s="28"/>
      <c r="GM155" s="28"/>
      <c r="GN155" s="28"/>
      <c r="GO155" s="28"/>
      <c r="GP155" s="28"/>
      <c r="GQ155" s="28"/>
      <c r="GR155" s="28"/>
      <c r="GS155" s="28"/>
      <c r="GT155" s="28"/>
      <c r="GU155" s="28"/>
      <c r="GV155" s="28"/>
      <c r="GW155" s="28"/>
      <c r="GX155" s="28"/>
      <c r="GY155" s="28"/>
      <c r="GZ155" s="28"/>
      <c r="HA155" s="28"/>
      <c r="HB155" s="28"/>
      <c r="HC155" s="28"/>
      <c r="HD155" s="28"/>
      <c r="HE155" s="28"/>
      <c r="HF155" s="28"/>
      <c r="HG155" s="28"/>
      <c r="HH155" s="28"/>
      <c r="HI155" s="28"/>
      <c r="HJ155" s="28"/>
      <c r="HK155" s="28"/>
      <c r="HL155" s="28"/>
      <c r="HM155" s="28"/>
      <c r="HN155" s="28"/>
      <c r="HO155" s="28"/>
      <c r="HP155" s="28"/>
      <c r="HQ155" s="28"/>
      <c r="HR155" s="28"/>
      <c r="HS155" s="28"/>
      <c r="HT155" s="28"/>
      <c r="HU155" s="28"/>
      <c r="HV155" s="28"/>
      <c r="HW155" s="28"/>
      <c r="HX155" s="28"/>
      <c r="HY155" s="28"/>
      <c r="HZ155" s="28"/>
      <c r="IA155" s="28"/>
      <c r="IB155" s="28"/>
      <c r="IC155" s="28"/>
      <c r="ID155" s="28"/>
      <c r="IE155" s="28"/>
      <c r="IF155" s="28"/>
      <c r="IG155" s="28"/>
      <c r="IH155" s="28"/>
      <c r="II155" s="28"/>
      <c r="IJ155" s="28"/>
      <c r="IK155" s="28"/>
      <c r="IL155" s="28"/>
      <c r="IM155" s="28"/>
      <c r="IN155" s="28"/>
      <c r="IO155" s="28"/>
      <c r="IP155" s="28"/>
      <c r="IQ155" s="28"/>
      <c r="IR155" s="28"/>
      <c r="IS155" s="28"/>
      <c r="IT155" s="28"/>
      <c r="IU155" s="28"/>
      <c r="IV155" s="28"/>
      <c r="IW155" s="28"/>
      <c r="IX155" s="28"/>
      <c r="IY155" s="28"/>
      <c r="IZ155" s="28"/>
      <c r="JA155" s="28"/>
      <c r="JB155" s="28"/>
      <c r="JC155" s="28"/>
      <c r="JD155" s="28"/>
      <c r="JE155" s="28"/>
      <c r="JF155" s="28"/>
      <c r="JG155" s="28"/>
      <c r="JH155" s="28"/>
      <c r="JI155" s="28"/>
    </row>
    <row r="156" spans="3:269" ht="18" hidden="1" customHeight="1" outlineLevel="1">
      <c r="C156" s="5"/>
      <c r="D156" s="26" t="s">
        <v>10</v>
      </c>
      <c r="E156" s="6"/>
      <c r="F156" s="6"/>
      <c r="G156" s="6"/>
      <c r="H156" s="9"/>
      <c r="I156" s="10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  <c r="JB156" s="27"/>
      <c r="JC156" s="27"/>
      <c r="JD156" s="27"/>
      <c r="JE156" s="27"/>
      <c r="JF156" s="27"/>
      <c r="JG156" s="27"/>
      <c r="JH156" s="27"/>
      <c r="JI156" s="27"/>
    </row>
    <row r="157" spans="3:269" ht="18" hidden="1" customHeight="1" outlineLevel="1">
      <c r="C157" s="5"/>
      <c r="D157" s="26" t="s">
        <v>10</v>
      </c>
      <c r="E157" s="6"/>
      <c r="F157" s="6"/>
      <c r="G157" s="6"/>
      <c r="H157" s="9"/>
      <c r="I157" s="10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27"/>
      <c r="IX157" s="27"/>
      <c r="IY157" s="27"/>
      <c r="IZ157" s="27"/>
      <c r="JA157" s="27"/>
      <c r="JB157" s="27"/>
      <c r="JC157" s="27"/>
      <c r="JD157" s="27"/>
      <c r="JE157" s="27"/>
      <c r="JF157" s="27"/>
      <c r="JG157" s="27"/>
      <c r="JH157" s="27"/>
      <c r="JI157" s="27"/>
    </row>
    <row r="158" spans="3:269" ht="18" hidden="1" customHeight="1" outlineLevel="1">
      <c r="C158" s="5"/>
      <c r="D158" s="26" t="s">
        <v>10</v>
      </c>
      <c r="E158" s="6"/>
      <c r="F158" s="6"/>
      <c r="G158" s="6"/>
      <c r="H158" s="9"/>
      <c r="I158" s="10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  <c r="FS158" s="28"/>
      <c r="FT158" s="28"/>
      <c r="FU158" s="28"/>
      <c r="FV158" s="28"/>
      <c r="FW158" s="28"/>
      <c r="FX158" s="28"/>
      <c r="FY158" s="28"/>
      <c r="FZ158" s="28"/>
      <c r="GA158" s="28"/>
      <c r="GB158" s="28"/>
      <c r="GC158" s="28"/>
      <c r="GD158" s="28"/>
      <c r="GE158" s="28"/>
      <c r="GF158" s="28"/>
      <c r="GG158" s="28"/>
      <c r="GH158" s="28"/>
      <c r="GI158" s="28"/>
      <c r="GJ158" s="28"/>
      <c r="GK158" s="28"/>
      <c r="GL158" s="28"/>
      <c r="GM158" s="28"/>
      <c r="GN158" s="28"/>
      <c r="GO158" s="28"/>
      <c r="GP158" s="28"/>
      <c r="GQ158" s="28"/>
      <c r="GR158" s="28"/>
      <c r="GS158" s="28"/>
      <c r="GT158" s="28"/>
      <c r="GU158" s="28"/>
      <c r="GV158" s="28"/>
      <c r="GW158" s="28"/>
      <c r="GX158" s="28"/>
      <c r="GY158" s="28"/>
      <c r="GZ158" s="28"/>
      <c r="HA158" s="28"/>
      <c r="HB158" s="28"/>
      <c r="HC158" s="28"/>
      <c r="HD158" s="28"/>
      <c r="HE158" s="28"/>
      <c r="HF158" s="28"/>
      <c r="HG158" s="28"/>
      <c r="HH158" s="28"/>
      <c r="HI158" s="28"/>
      <c r="HJ158" s="28"/>
      <c r="HK158" s="28"/>
      <c r="HL158" s="28"/>
      <c r="HM158" s="28"/>
      <c r="HN158" s="28"/>
      <c r="HO158" s="28"/>
      <c r="HP158" s="28"/>
      <c r="HQ158" s="28"/>
      <c r="HR158" s="28"/>
      <c r="HS158" s="28"/>
      <c r="HT158" s="28"/>
      <c r="HU158" s="28"/>
      <c r="HV158" s="28"/>
      <c r="HW158" s="28"/>
      <c r="HX158" s="28"/>
      <c r="HY158" s="28"/>
      <c r="HZ158" s="28"/>
      <c r="IA158" s="28"/>
      <c r="IB158" s="28"/>
      <c r="IC158" s="28"/>
      <c r="ID158" s="28"/>
      <c r="IE158" s="28"/>
      <c r="IF158" s="28"/>
      <c r="IG158" s="28"/>
      <c r="IH158" s="28"/>
      <c r="II158" s="28"/>
      <c r="IJ158" s="28"/>
      <c r="IK158" s="28"/>
      <c r="IL158" s="28"/>
      <c r="IM158" s="28"/>
      <c r="IN158" s="28"/>
      <c r="IO158" s="28"/>
      <c r="IP158" s="28"/>
      <c r="IQ158" s="28"/>
      <c r="IR158" s="28"/>
      <c r="IS158" s="28"/>
      <c r="IT158" s="28"/>
      <c r="IU158" s="28"/>
      <c r="IV158" s="28"/>
      <c r="IW158" s="28"/>
      <c r="IX158" s="28"/>
      <c r="IY158" s="28"/>
      <c r="IZ158" s="28"/>
      <c r="JA158" s="28"/>
      <c r="JB158" s="28"/>
      <c r="JC158" s="28"/>
      <c r="JD158" s="28"/>
      <c r="JE158" s="28"/>
      <c r="JF158" s="28"/>
      <c r="JG158" s="28"/>
      <c r="JH158" s="28"/>
      <c r="JI158" s="28"/>
    </row>
    <row r="159" spans="3:269" ht="18" hidden="1" customHeight="1" outlineLevel="1">
      <c r="C159" s="5"/>
      <c r="D159" s="26" t="s">
        <v>10</v>
      </c>
      <c r="E159" s="6"/>
      <c r="F159" s="6"/>
      <c r="G159" s="6"/>
      <c r="H159" s="9"/>
      <c r="I159" s="10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  <c r="FS159" s="28"/>
      <c r="FT159" s="28"/>
      <c r="FU159" s="28"/>
      <c r="FV159" s="28"/>
      <c r="FW159" s="28"/>
      <c r="FX159" s="28"/>
      <c r="FY159" s="28"/>
      <c r="FZ159" s="28"/>
      <c r="GA159" s="28"/>
      <c r="GB159" s="28"/>
      <c r="GC159" s="28"/>
      <c r="GD159" s="28"/>
      <c r="GE159" s="28"/>
      <c r="GF159" s="28"/>
      <c r="GG159" s="28"/>
      <c r="GH159" s="28"/>
      <c r="GI159" s="28"/>
      <c r="GJ159" s="28"/>
      <c r="GK159" s="28"/>
      <c r="GL159" s="28"/>
      <c r="GM159" s="28"/>
      <c r="GN159" s="28"/>
      <c r="GO159" s="28"/>
      <c r="GP159" s="28"/>
      <c r="GQ159" s="28"/>
      <c r="GR159" s="28"/>
      <c r="GS159" s="28"/>
      <c r="GT159" s="28"/>
      <c r="GU159" s="28"/>
      <c r="GV159" s="28"/>
      <c r="GW159" s="28"/>
      <c r="GX159" s="28"/>
      <c r="GY159" s="28"/>
      <c r="GZ159" s="28"/>
      <c r="HA159" s="28"/>
      <c r="HB159" s="28"/>
      <c r="HC159" s="28"/>
      <c r="HD159" s="28"/>
      <c r="HE159" s="28"/>
      <c r="HF159" s="28"/>
      <c r="HG159" s="28"/>
      <c r="HH159" s="28"/>
      <c r="HI159" s="28"/>
      <c r="HJ159" s="28"/>
      <c r="HK159" s="28"/>
      <c r="HL159" s="28"/>
      <c r="HM159" s="28"/>
      <c r="HN159" s="28"/>
      <c r="HO159" s="28"/>
      <c r="HP159" s="28"/>
      <c r="HQ159" s="28"/>
      <c r="HR159" s="28"/>
      <c r="HS159" s="28"/>
      <c r="HT159" s="28"/>
      <c r="HU159" s="28"/>
      <c r="HV159" s="28"/>
      <c r="HW159" s="28"/>
      <c r="HX159" s="28"/>
      <c r="HY159" s="28"/>
      <c r="HZ159" s="28"/>
      <c r="IA159" s="28"/>
      <c r="IB159" s="28"/>
      <c r="IC159" s="28"/>
      <c r="ID159" s="28"/>
      <c r="IE159" s="28"/>
      <c r="IF159" s="28"/>
      <c r="IG159" s="28"/>
      <c r="IH159" s="28"/>
      <c r="II159" s="28"/>
      <c r="IJ159" s="28"/>
      <c r="IK159" s="28"/>
      <c r="IL159" s="28"/>
      <c r="IM159" s="28"/>
      <c r="IN159" s="28"/>
      <c r="IO159" s="28"/>
      <c r="IP159" s="28"/>
      <c r="IQ159" s="28"/>
      <c r="IR159" s="28"/>
      <c r="IS159" s="28"/>
      <c r="IT159" s="28"/>
      <c r="IU159" s="28"/>
      <c r="IV159" s="28"/>
      <c r="IW159" s="28"/>
      <c r="IX159" s="28"/>
      <c r="IY159" s="28"/>
      <c r="IZ159" s="28"/>
      <c r="JA159" s="28"/>
      <c r="JB159" s="28"/>
      <c r="JC159" s="28"/>
      <c r="JD159" s="28"/>
      <c r="JE159" s="28"/>
      <c r="JF159" s="28"/>
      <c r="JG159" s="28"/>
      <c r="JH159" s="28"/>
      <c r="JI159" s="28"/>
    </row>
    <row r="160" spans="3:269" ht="18" hidden="1" customHeight="1" outlineLevel="1">
      <c r="C160" s="5"/>
      <c r="D160" s="26" t="s">
        <v>10</v>
      </c>
      <c r="E160" s="6"/>
      <c r="F160" s="6"/>
      <c r="G160" s="6"/>
      <c r="H160" s="9"/>
      <c r="I160" s="10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  <c r="FS160" s="27"/>
      <c r="FT160" s="27"/>
      <c r="FU160" s="27"/>
      <c r="FV160" s="27"/>
      <c r="FW160" s="27"/>
      <c r="FX160" s="27"/>
      <c r="FY160" s="27"/>
      <c r="FZ160" s="27"/>
      <c r="GA160" s="27"/>
      <c r="GB160" s="27"/>
      <c r="GC160" s="27"/>
      <c r="GD160" s="27"/>
      <c r="GE160" s="27"/>
      <c r="GF160" s="27"/>
      <c r="GG160" s="27"/>
      <c r="GH160" s="27"/>
      <c r="GI160" s="27"/>
      <c r="GJ160" s="27"/>
      <c r="GK160" s="27"/>
      <c r="GL160" s="27"/>
      <c r="GM160" s="27"/>
      <c r="GN160" s="27"/>
      <c r="GO160" s="27"/>
      <c r="GP160" s="27"/>
      <c r="GQ160" s="27"/>
      <c r="GR160" s="27"/>
      <c r="GS160" s="27"/>
      <c r="GT160" s="27"/>
      <c r="GU160" s="27"/>
      <c r="GV160" s="27"/>
      <c r="GW160" s="27"/>
      <c r="GX160" s="27"/>
      <c r="GY160" s="27"/>
      <c r="GZ160" s="27"/>
      <c r="HA160" s="27"/>
      <c r="HB160" s="27"/>
      <c r="HC160" s="27"/>
      <c r="HD160" s="27"/>
      <c r="HE160" s="27"/>
      <c r="HF160" s="27"/>
      <c r="HG160" s="27"/>
      <c r="HH160" s="27"/>
      <c r="HI160" s="27"/>
      <c r="HJ160" s="27"/>
      <c r="HK160" s="27"/>
      <c r="HL160" s="27"/>
      <c r="HM160" s="27"/>
      <c r="HN160" s="27"/>
      <c r="HO160" s="27"/>
      <c r="HP160" s="27"/>
      <c r="HQ160" s="27"/>
      <c r="HR160" s="27"/>
      <c r="HS160" s="27"/>
      <c r="HT160" s="27"/>
      <c r="HU160" s="27"/>
      <c r="HV160" s="27"/>
      <c r="HW160" s="27"/>
      <c r="HX160" s="27"/>
      <c r="HY160" s="27"/>
      <c r="HZ160" s="27"/>
      <c r="IA160" s="27"/>
      <c r="IB160" s="27"/>
      <c r="IC160" s="27"/>
      <c r="ID160" s="27"/>
      <c r="IE160" s="27"/>
      <c r="IF160" s="27"/>
      <c r="IG160" s="27"/>
      <c r="IH160" s="27"/>
      <c r="II160" s="27"/>
      <c r="IJ160" s="27"/>
      <c r="IK160" s="27"/>
      <c r="IL160" s="27"/>
      <c r="IM160" s="27"/>
      <c r="IN160" s="27"/>
      <c r="IO160" s="27"/>
      <c r="IP160" s="27"/>
      <c r="IQ160" s="27"/>
      <c r="IR160" s="27"/>
      <c r="IS160" s="27"/>
      <c r="IT160" s="27"/>
      <c r="IU160" s="27"/>
      <c r="IV160" s="27"/>
      <c r="IW160" s="27"/>
      <c r="IX160" s="27"/>
      <c r="IY160" s="27"/>
      <c r="IZ160" s="27"/>
      <c r="JA160" s="27"/>
      <c r="JB160" s="27"/>
      <c r="JC160" s="27"/>
      <c r="JD160" s="27"/>
      <c r="JE160" s="27"/>
      <c r="JF160" s="27"/>
      <c r="JG160" s="27"/>
      <c r="JH160" s="27"/>
      <c r="JI160" s="27"/>
    </row>
    <row r="161" spans="3:269" ht="18" hidden="1" customHeight="1" outlineLevel="1">
      <c r="C161" s="5"/>
      <c r="D161" s="26" t="s">
        <v>10</v>
      </c>
      <c r="E161" s="6"/>
      <c r="F161" s="6"/>
      <c r="G161" s="6"/>
      <c r="H161" s="9"/>
      <c r="I161" s="10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/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  <c r="IT161" s="27"/>
      <c r="IU161" s="27"/>
      <c r="IV161" s="27"/>
      <c r="IW161" s="27"/>
      <c r="IX161" s="27"/>
      <c r="IY161" s="27"/>
      <c r="IZ161" s="27"/>
      <c r="JA161" s="27"/>
      <c r="JB161" s="27"/>
      <c r="JC161" s="27"/>
      <c r="JD161" s="27"/>
      <c r="JE161" s="27"/>
      <c r="JF161" s="27"/>
      <c r="JG161" s="27"/>
      <c r="JH161" s="27"/>
      <c r="JI161" s="27"/>
    </row>
    <row r="162" spans="3:269" ht="18" hidden="1" customHeight="1" outlineLevel="1">
      <c r="C162" s="5"/>
      <c r="D162" s="26" t="s">
        <v>10</v>
      </c>
      <c r="E162" s="6"/>
      <c r="F162" s="6"/>
      <c r="G162" s="6"/>
      <c r="H162" s="9"/>
      <c r="I162" s="10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  <c r="FS162" s="27"/>
      <c r="FT162" s="27"/>
      <c r="FU162" s="27"/>
      <c r="FV162" s="27"/>
      <c r="FW162" s="27"/>
      <c r="FX162" s="27"/>
      <c r="FY162" s="27"/>
      <c r="FZ162" s="27"/>
      <c r="GA162" s="27"/>
      <c r="GB162" s="27"/>
      <c r="GC162" s="27"/>
      <c r="GD162" s="27"/>
      <c r="GE162" s="27"/>
      <c r="GF162" s="27"/>
      <c r="GG162" s="27"/>
      <c r="GH162" s="27"/>
      <c r="GI162" s="27"/>
      <c r="GJ162" s="27"/>
      <c r="GK162" s="27"/>
      <c r="GL162" s="27"/>
      <c r="GM162" s="27"/>
      <c r="GN162" s="27"/>
      <c r="GO162" s="27"/>
      <c r="GP162" s="27"/>
      <c r="GQ162" s="27"/>
      <c r="GR162" s="27"/>
      <c r="GS162" s="27"/>
      <c r="GT162" s="27"/>
      <c r="GU162" s="27"/>
      <c r="GV162" s="27"/>
      <c r="GW162" s="27"/>
      <c r="GX162" s="27"/>
      <c r="GY162" s="27"/>
      <c r="GZ162" s="27"/>
      <c r="HA162" s="27"/>
      <c r="HB162" s="27"/>
      <c r="HC162" s="27"/>
      <c r="HD162" s="27"/>
      <c r="HE162" s="27"/>
      <c r="HF162" s="27"/>
      <c r="HG162" s="27"/>
      <c r="HH162" s="27"/>
      <c r="HI162" s="27"/>
      <c r="HJ162" s="27"/>
      <c r="HK162" s="27"/>
      <c r="HL162" s="27"/>
      <c r="HM162" s="27"/>
      <c r="HN162" s="27"/>
      <c r="HO162" s="27"/>
      <c r="HP162" s="27"/>
      <c r="HQ162" s="27"/>
      <c r="HR162" s="27"/>
      <c r="HS162" s="27"/>
      <c r="HT162" s="27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27"/>
      <c r="IH162" s="27"/>
      <c r="II162" s="27"/>
      <c r="IJ162" s="27"/>
      <c r="IK162" s="27"/>
      <c r="IL162" s="27"/>
      <c r="IM162" s="27"/>
      <c r="IN162" s="27"/>
      <c r="IO162" s="27"/>
      <c r="IP162" s="27"/>
      <c r="IQ162" s="27"/>
      <c r="IR162" s="27"/>
      <c r="IS162" s="27"/>
      <c r="IT162" s="27"/>
      <c r="IU162" s="27"/>
      <c r="IV162" s="27"/>
      <c r="IW162" s="27"/>
      <c r="IX162" s="27"/>
      <c r="IY162" s="27"/>
      <c r="IZ162" s="27"/>
      <c r="JA162" s="27"/>
      <c r="JB162" s="27"/>
      <c r="JC162" s="27"/>
      <c r="JD162" s="27"/>
      <c r="JE162" s="27"/>
      <c r="JF162" s="27"/>
      <c r="JG162" s="27"/>
      <c r="JH162" s="27"/>
      <c r="JI162" s="27"/>
    </row>
    <row r="163" spans="3:269" ht="18" hidden="1" customHeight="1" outlineLevel="1">
      <c r="C163" s="5"/>
      <c r="D163" s="26" t="s">
        <v>10</v>
      </c>
      <c r="E163" s="6"/>
      <c r="F163" s="6"/>
      <c r="G163" s="6"/>
      <c r="H163" s="9"/>
      <c r="I163" s="10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  <c r="IT163" s="27"/>
      <c r="IU163" s="27"/>
      <c r="IV163" s="27"/>
      <c r="IW163" s="27"/>
      <c r="IX163" s="27"/>
      <c r="IY163" s="27"/>
      <c r="IZ163" s="27"/>
      <c r="JA163" s="27"/>
      <c r="JB163" s="27"/>
      <c r="JC163" s="27"/>
      <c r="JD163" s="27"/>
      <c r="JE163" s="27"/>
      <c r="JF163" s="27"/>
      <c r="JG163" s="27"/>
      <c r="JH163" s="27"/>
      <c r="JI163" s="27"/>
    </row>
    <row r="164" spans="3:269" ht="18" hidden="1" customHeight="1" outlineLevel="1">
      <c r="C164" s="5"/>
      <c r="D164" s="26" t="s">
        <v>10</v>
      </c>
      <c r="E164" s="6"/>
      <c r="F164" s="6"/>
      <c r="G164" s="6"/>
      <c r="H164" s="9"/>
      <c r="I164" s="10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  <c r="FS164" s="27"/>
      <c r="FT164" s="27"/>
      <c r="FU164" s="27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  <c r="IT164" s="27"/>
      <c r="IU164" s="27"/>
      <c r="IV164" s="27"/>
      <c r="IW164" s="27"/>
      <c r="IX164" s="27"/>
      <c r="IY164" s="27"/>
      <c r="IZ164" s="27"/>
      <c r="JA164" s="27"/>
      <c r="JB164" s="27"/>
      <c r="JC164" s="27"/>
      <c r="JD164" s="27"/>
      <c r="JE164" s="27"/>
      <c r="JF164" s="27"/>
      <c r="JG164" s="27"/>
      <c r="JH164" s="27"/>
      <c r="JI164" s="27"/>
    </row>
    <row r="165" spans="3:269" ht="18" hidden="1" customHeight="1" outlineLevel="1">
      <c r="C165" s="5"/>
      <c r="D165" s="26" t="s">
        <v>10</v>
      </c>
      <c r="E165" s="6"/>
      <c r="F165" s="6"/>
      <c r="G165" s="6"/>
      <c r="H165" s="9"/>
      <c r="I165" s="10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  <c r="JI165" s="27"/>
    </row>
    <row r="166" spans="3:269" ht="18" hidden="1" customHeight="1" outlineLevel="1">
      <c r="C166" s="5"/>
      <c r="D166" s="26" t="s">
        <v>10</v>
      </c>
      <c r="E166" s="6"/>
      <c r="F166" s="6"/>
      <c r="G166" s="6"/>
      <c r="H166" s="9"/>
      <c r="I166" s="10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  <c r="JB166" s="27"/>
      <c r="JC166" s="27"/>
      <c r="JD166" s="27"/>
      <c r="JE166" s="27"/>
      <c r="JF166" s="27"/>
      <c r="JG166" s="27"/>
      <c r="JH166" s="27"/>
      <c r="JI166" s="27"/>
    </row>
    <row r="167" spans="3:269" ht="18" hidden="1" customHeight="1" outlineLevel="1">
      <c r="C167" s="5"/>
      <c r="D167" s="26" t="s">
        <v>10</v>
      </c>
      <c r="E167" s="6"/>
      <c r="F167" s="6"/>
      <c r="G167" s="6"/>
      <c r="H167" s="9"/>
      <c r="I167" s="10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  <c r="JB167" s="27"/>
      <c r="JC167" s="27"/>
      <c r="JD167" s="27"/>
      <c r="JE167" s="27"/>
      <c r="JF167" s="27"/>
      <c r="JG167" s="27"/>
      <c r="JH167" s="27"/>
      <c r="JI167" s="27"/>
    </row>
    <row r="168" spans="3:269" ht="18" hidden="1" customHeight="1" outlineLevel="1">
      <c r="C168" s="5"/>
      <c r="D168" s="26" t="s">
        <v>10</v>
      </c>
      <c r="E168" s="6"/>
      <c r="F168" s="6"/>
      <c r="G168" s="6"/>
      <c r="H168" s="9"/>
      <c r="I168" s="10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  <c r="FS168" s="27"/>
      <c r="FT168" s="27"/>
      <c r="FU168" s="27"/>
      <c r="FV168" s="27"/>
      <c r="FW168" s="27"/>
      <c r="FX168" s="27"/>
      <c r="FY168" s="27"/>
      <c r="FZ168" s="27"/>
      <c r="GA168" s="27"/>
      <c r="GB168" s="27"/>
      <c r="GC168" s="27"/>
      <c r="GD168" s="27"/>
      <c r="GE168" s="27"/>
      <c r="GF168" s="27"/>
      <c r="GG168" s="27"/>
      <c r="GH168" s="27"/>
      <c r="GI168" s="27"/>
      <c r="GJ168" s="27"/>
      <c r="GK168" s="27"/>
      <c r="GL168" s="27"/>
      <c r="GM168" s="27"/>
      <c r="GN168" s="27"/>
      <c r="GO168" s="27"/>
      <c r="GP168" s="27"/>
      <c r="GQ168" s="27"/>
      <c r="GR168" s="27"/>
      <c r="GS168" s="27"/>
      <c r="GT168" s="27"/>
      <c r="GU168" s="27"/>
      <c r="GV168" s="27"/>
      <c r="GW168" s="27"/>
      <c r="GX168" s="27"/>
      <c r="GY168" s="27"/>
      <c r="GZ168" s="27"/>
      <c r="HA168" s="27"/>
      <c r="HB168" s="27"/>
      <c r="HC168" s="27"/>
      <c r="HD168" s="27"/>
      <c r="HE168" s="27"/>
      <c r="HF168" s="27"/>
      <c r="HG168" s="27"/>
      <c r="HH168" s="27"/>
      <c r="HI168" s="27"/>
      <c r="HJ168" s="27"/>
      <c r="HK168" s="27"/>
      <c r="HL168" s="27"/>
      <c r="HM168" s="27"/>
      <c r="HN168" s="27"/>
      <c r="HO168" s="27"/>
      <c r="HP168" s="27"/>
      <c r="HQ168" s="27"/>
      <c r="HR168" s="27"/>
      <c r="HS168" s="27"/>
      <c r="HT168" s="27"/>
      <c r="HU168" s="27"/>
      <c r="HV168" s="27"/>
      <c r="HW168" s="27"/>
      <c r="HX168" s="27"/>
      <c r="HY168" s="27"/>
      <c r="HZ168" s="27"/>
      <c r="IA168" s="27"/>
      <c r="IB168" s="27"/>
      <c r="IC168" s="27"/>
      <c r="ID168" s="27"/>
      <c r="IE168" s="27"/>
      <c r="IF168" s="27"/>
      <c r="IG168" s="27"/>
      <c r="IH168" s="27"/>
      <c r="II168" s="27"/>
      <c r="IJ168" s="27"/>
      <c r="IK168" s="27"/>
      <c r="IL168" s="27"/>
      <c r="IM168" s="27"/>
      <c r="IN168" s="27"/>
      <c r="IO168" s="27"/>
      <c r="IP168" s="27"/>
      <c r="IQ168" s="27"/>
      <c r="IR168" s="27"/>
      <c r="IS168" s="27"/>
      <c r="IT168" s="27"/>
      <c r="IU168" s="27"/>
      <c r="IV168" s="27"/>
      <c r="IW168" s="27"/>
      <c r="IX168" s="27"/>
      <c r="IY168" s="27"/>
      <c r="IZ168" s="27"/>
      <c r="JA168" s="27"/>
      <c r="JB168" s="27"/>
      <c r="JC168" s="27"/>
      <c r="JD168" s="27"/>
      <c r="JE168" s="27"/>
      <c r="JF168" s="27"/>
      <c r="JG168" s="27"/>
      <c r="JH168" s="27"/>
      <c r="JI168" s="27"/>
    </row>
    <row r="169" spans="3:269" ht="18" hidden="1" customHeight="1" outlineLevel="1">
      <c r="C169" s="5"/>
      <c r="D169" s="26" t="s">
        <v>10</v>
      </c>
      <c r="E169" s="6"/>
      <c r="F169" s="6"/>
      <c r="G169" s="6"/>
      <c r="H169" s="9"/>
      <c r="I169" s="10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  <c r="FS169" s="27"/>
      <c r="FT169" s="27"/>
      <c r="FU169" s="27"/>
      <c r="FV169" s="27"/>
      <c r="FW169" s="27"/>
      <c r="FX169" s="27"/>
      <c r="FY169" s="27"/>
      <c r="FZ169" s="27"/>
      <c r="GA169" s="27"/>
      <c r="GB169" s="27"/>
      <c r="GC169" s="27"/>
      <c r="GD169" s="27"/>
      <c r="GE169" s="27"/>
      <c r="GF169" s="27"/>
      <c r="GG169" s="27"/>
      <c r="GH169" s="27"/>
      <c r="GI169" s="27"/>
      <c r="GJ169" s="27"/>
      <c r="GK169" s="27"/>
      <c r="GL169" s="27"/>
      <c r="GM169" s="27"/>
      <c r="GN169" s="27"/>
      <c r="GO169" s="27"/>
      <c r="GP169" s="27"/>
      <c r="GQ169" s="27"/>
      <c r="GR169" s="27"/>
      <c r="GS169" s="27"/>
      <c r="GT169" s="27"/>
      <c r="GU169" s="27"/>
      <c r="GV169" s="27"/>
      <c r="GW169" s="27"/>
      <c r="GX169" s="27"/>
      <c r="GY169" s="27"/>
      <c r="GZ169" s="27"/>
      <c r="HA169" s="27"/>
      <c r="HB169" s="27"/>
      <c r="HC169" s="27"/>
      <c r="HD169" s="27"/>
      <c r="HE169" s="27"/>
      <c r="HF169" s="27"/>
      <c r="HG169" s="27"/>
      <c r="HH169" s="27"/>
      <c r="HI169" s="27"/>
      <c r="HJ169" s="27"/>
      <c r="HK169" s="27"/>
      <c r="HL169" s="27"/>
      <c r="HM169" s="27"/>
      <c r="HN169" s="27"/>
      <c r="HO169" s="27"/>
      <c r="HP169" s="27"/>
      <c r="HQ169" s="27"/>
      <c r="HR169" s="27"/>
      <c r="HS169" s="27"/>
      <c r="HT169" s="27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27"/>
      <c r="IH169" s="27"/>
      <c r="II169" s="27"/>
      <c r="IJ169" s="27"/>
      <c r="IK169" s="27"/>
      <c r="IL169" s="27"/>
      <c r="IM169" s="27"/>
      <c r="IN169" s="27"/>
      <c r="IO169" s="27"/>
      <c r="IP169" s="27"/>
      <c r="IQ169" s="27"/>
      <c r="IR169" s="27"/>
      <c r="IS169" s="27"/>
      <c r="IT169" s="27"/>
      <c r="IU169" s="27"/>
      <c r="IV169" s="27"/>
      <c r="IW169" s="27"/>
      <c r="IX169" s="27"/>
      <c r="IY169" s="27"/>
      <c r="IZ169" s="27"/>
      <c r="JA169" s="27"/>
      <c r="JB169" s="27"/>
      <c r="JC169" s="27"/>
      <c r="JD169" s="27"/>
      <c r="JE169" s="27"/>
      <c r="JF169" s="27"/>
      <c r="JG169" s="27"/>
      <c r="JH169" s="27"/>
      <c r="JI169" s="27"/>
    </row>
    <row r="170" spans="3:269" ht="18" hidden="1" customHeight="1" outlineLevel="1">
      <c r="C170" s="5"/>
      <c r="D170" s="26" t="s">
        <v>10</v>
      </c>
      <c r="E170" s="6"/>
      <c r="F170" s="6"/>
      <c r="G170" s="6"/>
      <c r="H170" s="9"/>
      <c r="I170" s="10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  <c r="FS170" s="27"/>
      <c r="FT170" s="27"/>
      <c r="FU170" s="27"/>
      <c r="FV170" s="27"/>
      <c r="FW170" s="27"/>
      <c r="FX170" s="27"/>
      <c r="FY170" s="27"/>
      <c r="FZ170" s="27"/>
      <c r="GA170" s="27"/>
      <c r="GB170" s="27"/>
      <c r="GC170" s="27"/>
      <c r="GD170" s="27"/>
      <c r="GE170" s="27"/>
      <c r="GF170" s="27"/>
      <c r="GG170" s="27"/>
      <c r="GH170" s="27"/>
      <c r="GI170" s="27"/>
      <c r="GJ170" s="27"/>
      <c r="GK170" s="27"/>
      <c r="GL170" s="27"/>
      <c r="GM170" s="27"/>
      <c r="GN170" s="27"/>
      <c r="GO170" s="27"/>
      <c r="GP170" s="27"/>
      <c r="GQ170" s="27"/>
      <c r="GR170" s="27"/>
      <c r="GS170" s="27"/>
      <c r="GT170" s="27"/>
      <c r="GU170" s="27"/>
      <c r="GV170" s="27"/>
      <c r="GW170" s="27"/>
      <c r="GX170" s="27"/>
      <c r="GY170" s="27"/>
      <c r="GZ170" s="27"/>
      <c r="HA170" s="27"/>
      <c r="HB170" s="27"/>
      <c r="HC170" s="27"/>
      <c r="HD170" s="27"/>
      <c r="HE170" s="27"/>
      <c r="HF170" s="27"/>
      <c r="HG170" s="27"/>
      <c r="HH170" s="27"/>
      <c r="HI170" s="27"/>
      <c r="HJ170" s="27"/>
      <c r="HK170" s="27"/>
      <c r="HL170" s="27"/>
      <c r="HM170" s="27"/>
      <c r="HN170" s="27"/>
      <c r="HO170" s="27"/>
      <c r="HP170" s="27"/>
      <c r="HQ170" s="27"/>
      <c r="HR170" s="27"/>
      <c r="HS170" s="27"/>
      <c r="HT170" s="27"/>
      <c r="HU170" s="27"/>
      <c r="HV170" s="27"/>
      <c r="HW170" s="27"/>
      <c r="HX170" s="27"/>
      <c r="HY170" s="27"/>
      <c r="HZ170" s="27"/>
      <c r="IA170" s="27"/>
      <c r="IB170" s="27"/>
      <c r="IC170" s="27"/>
      <c r="ID170" s="27"/>
      <c r="IE170" s="27"/>
      <c r="IF170" s="27"/>
      <c r="IG170" s="27"/>
      <c r="IH170" s="27"/>
      <c r="II170" s="27"/>
      <c r="IJ170" s="27"/>
      <c r="IK170" s="27"/>
      <c r="IL170" s="27"/>
      <c r="IM170" s="27"/>
      <c r="IN170" s="27"/>
      <c r="IO170" s="27"/>
      <c r="IP170" s="27"/>
      <c r="IQ170" s="27"/>
      <c r="IR170" s="27"/>
      <c r="IS170" s="27"/>
      <c r="IT170" s="27"/>
      <c r="IU170" s="27"/>
      <c r="IV170" s="27"/>
      <c r="IW170" s="27"/>
      <c r="IX170" s="27"/>
      <c r="IY170" s="27"/>
      <c r="IZ170" s="27"/>
      <c r="JA170" s="27"/>
      <c r="JB170" s="27"/>
      <c r="JC170" s="27"/>
      <c r="JD170" s="27"/>
      <c r="JE170" s="27"/>
      <c r="JF170" s="27"/>
      <c r="JG170" s="27"/>
      <c r="JH170" s="27"/>
      <c r="JI170" s="27"/>
    </row>
    <row r="171" spans="3:269" ht="18" hidden="1" customHeight="1" outlineLevel="1">
      <c r="C171" s="5"/>
      <c r="D171" s="26" t="s">
        <v>10</v>
      </c>
      <c r="E171" s="6"/>
      <c r="F171" s="6"/>
      <c r="G171" s="6"/>
      <c r="H171" s="9"/>
      <c r="I171" s="10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  <c r="FS171" s="27"/>
      <c r="FT171" s="27"/>
      <c r="FU171" s="27"/>
      <c r="FV171" s="27"/>
      <c r="FW171" s="27"/>
      <c r="FX171" s="27"/>
      <c r="FY171" s="27"/>
      <c r="FZ171" s="27"/>
      <c r="GA171" s="27"/>
      <c r="GB171" s="27"/>
      <c r="GC171" s="27"/>
      <c r="GD171" s="27"/>
      <c r="GE171" s="27"/>
      <c r="GF171" s="27"/>
      <c r="GG171" s="27"/>
      <c r="GH171" s="27"/>
      <c r="GI171" s="27"/>
      <c r="GJ171" s="27"/>
      <c r="GK171" s="27"/>
      <c r="GL171" s="27"/>
      <c r="GM171" s="27"/>
      <c r="GN171" s="27"/>
      <c r="GO171" s="27"/>
      <c r="GP171" s="27"/>
      <c r="GQ171" s="27"/>
      <c r="GR171" s="27"/>
      <c r="GS171" s="27"/>
      <c r="GT171" s="27"/>
      <c r="GU171" s="27"/>
      <c r="GV171" s="27"/>
      <c r="GW171" s="27"/>
      <c r="GX171" s="27"/>
      <c r="GY171" s="27"/>
      <c r="GZ171" s="27"/>
      <c r="HA171" s="27"/>
      <c r="HB171" s="27"/>
      <c r="HC171" s="27"/>
      <c r="HD171" s="27"/>
      <c r="HE171" s="27"/>
      <c r="HF171" s="27"/>
      <c r="HG171" s="27"/>
      <c r="HH171" s="27"/>
      <c r="HI171" s="27"/>
      <c r="HJ171" s="27"/>
      <c r="HK171" s="27"/>
      <c r="HL171" s="27"/>
      <c r="HM171" s="27"/>
      <c r="HN171" s="27"/>
      <c r="HO171" s="27"/>
      <c r="HP171" s="27"/>
      <c r="HQ171" s="27"/>
      <c r="HR171" s="27"/>
      <c r="HS171" s="27"/>
      <c r="HT171" s="27"/>
      <c r="HU171" s="27"/>
      <c r="HV171" s="27"/>
      <c r="HW171" s="27"/>
      <c r="HX171" s="27"/>
      <c r="HY171" s="27"/>
      <c r="HZ171" s="27"/>
      <c r="IA171" s="27"/>
      <c r="IB171" s="27"/>
      <c r="IC171" s="27"/>
      <c r="ID171" s="27"/>
      <c r="IE171" s="27"/>
      <c r="IF171" s="27"/>
      <c r="IG171" s="27"/>
      <c r="IH171" s="27"/>
      <c r="II171" s="27"/>
      <c r="IJ171" s="27"/>
      <c r="IK171" s="27"/>
      <c r="IL171" s="27"/>
      <c r="IM171" s="27"/>
      <c r="IN171" s="27"/>
      <c r="IO171" s="27"/>
      <c r="IP171" s="27"/>
      <c r="IQ171" s="27"/>
      <c r="IR171" s="27"/>
      <c r="IS171" s="27"/>
      <c r="IT171" s="27"/>
      <c r="IU171" s="27"/>
      <c r="IV171" s="27"/>
      <c r="IW171" s="27"/>
      <c r="IX171" s="27"/>
      <c r="IY171" s="27"/>
      <c r="IZ171" s="27"/>
      <c r="JA171" s="27"/>
      <c r="JB171" s="27"/>
      <c r="JC171" s="27"/>
      <c r="JD171" s="27"/>
      <c r="JE171" s="27"/>
      <c r="JF171" s="27"/>
      <c r="JG171" s="27"/>
      <c r="JH171" s="27"/>
      <c r="JI171" s="27"/>
    </row>
    <row r="172" spans="3:269" ht="18" hidden="1" customHeight="1" outlineLevel="1">
      <c r="C172" s="5"/>
      <c r="D172" s="26" t="s">
        <v>10</v>
      </c>
      <c r="E172" s="6"/>
      <c r="F172" s="6"/>
      <c r="G172" s="6"/>
      <c r="H172" s="9"/>
      <c r="I172" s="10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  <c r="FS172" s="27"/>
      <c r="FT172" s="27"/>
      <c r="FU172" s="27"/>
      <c r="FV172" s="27"/>
      <c r="FW172" s="27"/>
      <c r="FX172" s="27"/>
      <c r="FY172" s="27"/>
      <c r="FZ172" s="27"/>
      <c r="GA172" s="27"/>
      <c r="GB172" s="27"/>
      <c r="GC172" s="27"/>
      <c r="GD172" s="27"/>
      <c r="GE172" s="27"/>
      <c r="GF172" s="27"/>
      <c r="GG172" s="27"/>
      <c r="GH172" s="27"/>
      <c r="GI172" s="27"/>
      <c r="GJ172" s="27"/>
      <c r="GK172" s="27"/>
      <c r="GL172" s="27"/>
      <c r="GM172" s="27"/>
      <c r="GN172" s="27"/>
      <c r="GO172" s="27"/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27"/>
      <c r="HE172" s="27"/>
      <c r="HF172" s="27"/>
      <c r="HG172" s="27"/>
      <c r="HH172" s="27"/>
      <c r="HI172" s="27"/>
      <c r="HJ172" s="27"/>
      <c r="HK172" s="27"/>
      <c r="HL172" s="27"/>
      <c r="HM172" s="27"/>
      <c r="HN172" s="27"/>
      <c r="HO172" s="27"/>
      <c r="HP172" s="27"/>
      <c r="HQ172" s="27"/>
      <c r="HR172" s="27"/>
      <c r="HS172" s="27"/>
      <c r="HT172" s="27"/>
      <c r="HU172" s="27"/>
      <c r="HV172" s="27"/>
      <c r="HW172" s="27"/>
      <c r="HX172" s="27"/>
      <c r="HY172" s="27"/>
      <c r="HZ172" s="27"/>
      <c r="IA172" s="27"/>
      <c r="IB172" s="27"/>
      <c r="IC172" s="27"/>
      <c r="ID172" s="27"/>
      <c r="IE172" s="27"/>
      <c r="IF172" s="27"/>
      <c r="IG172" s="27"/>
      <c r="IH172" s="27"/>
      <c r="II172" s="27"/>
      <c r="IJ172" s="27"/>
      <c r="IK172" s="27"/>
      <c r="IL172" s="27"/>
      <c r="IM172" s="27"/>
      <c r="IN172" s="27"/>
      <c r="IO172" s="27"/>
      <c r="IP172" s="27"/>
      <c r="IQ172" s="27"/>
      <c r="IR172" s="27"/>
      <c r="IS172" s="27"/>
      <c r="IT172" s="27"/>
      <c r="IU172" s="27"/>
      <c r="IV172" s="27"/>
      <c r="IW172" s="27"/>
      <c r="IX172" s="27"/>
      <c r="IY172" s="27"/>
      <c r="IZ172" s="27"/>
      <c r="JA172" s="27"/>
      <c r="JB172" s="27"/>
      <c r="JC172" s="27"/>
      <c r="JD172" s="27"/>
      <c r="JE172" s="27"/>
      <c r="JF172" s="27"/>
      <c r="JG172" s="27"/>
      <c r="JH172" s="27"/>
      <c r="JI172" s="27"/>
    </row>
    <row r="173" spans="3:269" ht="18" customHeight="1" collapsed="1">
      <c r="C173" s="8" t="s">
        <v>21</v>
      </c>
      <c r="D173" s="11"/>
      <c r="E173" s="31"/>
      <c r="F173" s="12"/>
      <c r="G173" s="12"/>
      <c r="H173" s="29">
        <f>MIN(H174:H193)</f>
        <v>0</v>
      </c>
      <c r="I173" s="30">
        <f>MAX(I174:I193)</f>
        <v>0</v>
      </c>
      <c r="J173" s="27"/>
      <c r="K173" s="27"/>
      <c r="L173" s="27"/>
      <c r="M173" s="27"/>
      <c r="N173" s="27"/>
      <c r="O173" s="27"/>
      <c r="P173" s="27"/>
      <c r="Q173" s="27"/>
      <c r="R173" s="27"/>
      <c r="S173" s="28"/>
      <c r="T173" s="28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  <c r="FS173" s="27"/>
      <c r="FT173" s="27"/>
      <c r="FU173" s="27"/>
      <c r="FV173" s="27"/>
      <c r="FW173" s="27"/>
      <c r="FX173" s="27"/>
      <c r="FY173" s="27"/>
      <c r="FZ173" s="27"/>
      <c r="GA173" s="27"/>
      <c r="GB173" s="27"/>
      <c r="GC173" s="27"/>
      <c r="GD173" s="27"/>
      <c r="GE173" s="27"/>
      <c r="GF173" s="27"/>
      <c r="GG173" s="27"/>
      <c r="GH173" s="27"/>
      <c r="GI173" s="27"/>
      <c r="GJ173" s="27"/>
      <c r="GK173" s="27"/>
      <c r="GL173" s="27"/>
      <c r="GM173" s="27"/>
      <c r="GN173" s="27"/>
      <c r="GO173" s="27"/>
      <c r="GP173" s="27"/>
      <c r="GQ173" s="27"/>
      <c r="GR173" s="27"/>
      <c r="GS173" s="27"/>
      <c r="GT173" s="27"/>
      <c r="GU173" s="27"/>
      <c r="GV173" s="27"/>
      <c r="GW173" s="27"/>
      <c r="GX173" s="27"/>
      <c r="GY173" s="27"/>
      <c r="GZ173" s="27"/>
      <c r="HA173" s="27"/>
      <c r="HB173" s="27"/>
      <c r="HC173" s="27"/>
      <c r="HD173" s="27"/>
      <c r="HE173" s="27"/>
      <c r="HF173" s="27"/>
      <c r="HG173" s="27"/>
      <c r="HH173" s="27"/>
      <c r="HI173" s="27"/>
      <c r="HJ173" s="27"/>
      <c r="HK173" s="27"/>
      <c r="HL173" s="27"/>
      <c r="HM173" s="27"/>
      <c r="HN173" s="27"/>
      <c r="HO173" s="27"/>
      <c r="HP173" s="27"/>
      <c r="HQ173" s="27"/>
      <c r="HR173" s="27"/>
      <c r="HS173" s="27"/>
      <c r="HT173" s="27"/>
      <c r="HU173" s="27"/>
      <c r="HV173" s="27"/>
      <c r="HW173" s="27"/>
      <c r="HX173" s="27"/>
      <c r="HY173" s="27"/>
      <c r="HZ173" s="27"/>
      <c r="IA173" s="27"/>
      <c r="IB173" s="27"/>
      <c r="IC173" s="27"/>
      <c r="ID173" s="27"/>
      <c r="IE173" s="27"/>
      <c r="IF173" s="27"/>
      <c r="IG173" s="27"/>
      <c r="IH173" s="27"/>
      <c r="II173" s="27"/>
      <c r="IJ173" s="27"/>
      <c r="IK173" s="27"/>
      <c r="IL173" s="27"/>
      <c r="IM173" s="27"/>
      <c r="IN173" s="27"/>
      <c r="IO173" s="27"/>
      <c r="IP173" s="27"/>
      <c r="IQ173" s="27"/>
      <c r="IR173" s="27"/>
      <c r="IS173" s="27"/>
      <c r="IT173" s="27"/>
      <c r="IU173" s="27"/>
      <c r="IV173" s="27"/>
      <c r="IW173" s="27"/>
      <c r="IX173" s="27"/>
      <c r="IY173" s="27"/>
      <c r="IZ173" s="27"/>
      <c r="JA173" s="27"/>
      <c r="JB173" s="27"/>
      <c r="JC173" s="27"/>
      <c r="JD173" s="27"/>
      <c r="JE173" s="27"/>
      <c r="JF173" s="27"/>
      <c r="JG173" s="27"/>
      <c r="JH173" s="27"/>
      <c r="JI173" s="27"/>
    </row>
    <row r="174" spans="3:269" ht="18" hidden="1" customHeight="1" outlineLevel="1">
      <c r="C174" s="5"/>
      <c r="D174" s="26" t="s">
        <v>10</v>
      </c>
      <c r="E174" s="6"/>
      <c r="F174" s="6"/>
      <c r="G174" s="6"/>
      <c r="H174" s="9"/>
      <c r="I174" s="10"/>
      <c r="J174" s="27"/>
      <c r="K174" s="27"/>
      <c r="L174" s="27"/>
      <c r="M174" s="27"/>
      <c r="N174" s="27"/>
      <c r="O174" s="27"/>
      <c r="P174" s="27"/>
      <c r="Q174" s="27"/>
      <c r="R174" s="27"/>
      <c r="S174" s="28"/>
      <c r="T174" s="28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  <c r="JB174" s="27"/>
      <c r="JC174" s="27"/>
      <c r="JD174" s="27"/>
      <c r="JE174" s="27"/>
      <c r="JF174" s="27"/>
      <c r="JG174" s="27"/>
      <c r="JH174" s="27"/>
      <c r="JI174" s="27"/>
    </row>
    <row r="175" spans="3:269" ht="18" hidden="1" customHeight="1" outlineLevel="1">
      <c r="C175" s="5"/>
      <c r="D175" s="26" t="s">
        <v>10</v>
      </c>
      <c r="E175" s="6"/>
      <c r="F175" s="6"/>
      <c r="G175" s="6"/>
      <c r="H175" s="9"/>
      <c r="I175" s="10"/>
      <c r="J175" s="27"/>
      <c r="K175" s="27"/>
      <c r="L175" s="27"/>
      <c r="M175" s="27"/>
      <c r="N175" s="27"/>
      <c r="O175" s="27"/>
      <c r="P175" s="27"/>
      <c r="Q175" s="27"/>
      <c r="R175" s="27"/>
      <c r="S175" s="28"/>
      <c r="T175" s="28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  <c r="JB175" s="27"/>
      <c r="JC175" s="27"/>
      <c r="JD175" s="27"/>
      <c r="JE175" s="27"/>
      <c r="JF175" s="27"/>
      <c r="JG175" s="27"/>
      <c r="JH175" s="27"/>
      <c r="JI175" s="27"/>
    </row>
    <row r="176" spans="3:269" ht="18" hidden="1" customHeight="1" outlineLevel="1">
      <c r="C176" s="5"/>
      <c r="D176" s="26" t="s">
        <v>10</v>
      </c>
      <c r="E176" s="6"/>
      <c r="F176" s="6"/>
      <c r="G176" s="6"/>
      <c r="H176" s="9"/>
      <c r="I176" s="10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  <c r="GF176" s="28"/>
      <c r="GG176" s="28"/>
      <c r="GH176" s="28"/>
      <c r="GI176" s="28"/>
      <c r="GJ176" s="28"/>
      <c r="GK176" s="28"/>
      <c r="GL176" s="28"/>
      <c r="GM176" s="28"/>
      <c r="GN176" s="28"/>
      <c r="GO176" s="28"/>
      <c r="GP176" s="28"/>
      <c r="GQ176" s="28"/>
      <c r="GR176" s="28"/>
      <c r="GS176" s="28"/>
      <c r="GT176" s="28"/>
      <c r="GU176" s="28"/>
      <c r="GV176" s="28"/>
      <c r="GW176" s="28"/>
      <c r="GX176" s="28"/>
      <c r="GY176" s="28"/>
      <c r="GZ176" s="28"/>
      <c r="HA176" s="28"/>
      <c r="HB176" s="28"/>
      <c r="HC176" s="28"/>
      <c r="HD176" s="28"/>
      <c r="HE176" s="28"/>
      <c r="HF176" s="28"/>
      <c r="HG176" s="28"/>
      <c r="HH176" s="28"/>
      <c r="HI176" s="28"/>
      <c r="HJ176" s="28"/>
      <c r="HK176" s="28"/>
      <c r="HL176" s="28"/>
      <c r="HM176" s="28"/>
      <c r="HN176" s="28"/>
      <c r="HO176" s="28"/>
      <c r="HP176" s="28"/>
      <c r="HQ176" s="28"/>
      <c r="HR176" s="28"/>
      <c r="HS176" s="28"/>
      <c r="HT176" s="28"/>
      <c r="HU176" s="28"/>
      <c r="HV176" s="28"/>
      <c r="HW176" s="28"/>
      <c r="HX176" s="28"/>
      <c r="HY176" s="28"/>
      <c r="HZ176" s="28"/>
      <c r="IA176" s="28"/>
      <c r="IB176" s="28"/>
      <c r="IC176" s="28"/>
      <c r="ID176" s="28"/>
      <c r="IE176" s="28"/>
      <c r="IF176" s="28"/>
      <c r="IG176" s="28"/>
      <c r="IH176" s="28"/>
      <c r="II176" s="28"/>
      <c r="IJ176" s="28"/>
      <c r="IK176" s="28"/>
      <c r="IL176" s="28"/>
      <c r="IM176" s="28"/>
      <c r="IN176" s="28"/>
      <c r="IO176" s="28"/>
      <c r="IP176" s="28"/>
      <c r="IQ176" s="28"/>
      <c r="IR176" s="28"/>
      <c r="IS176" s="28"/>
      <c r="IT176" s="28"/>
      <c r="IU176" s="28"/>
      <c r="IV176" s="28"/>
      <c r="IW176" s="28"/>
      <c r="IX176" s="28"/>
      <c r="IY176" s="28"/>
      <c r="IZ176" s="28"/>
      <c r="JA176" s="28"/>
      <c r="JB176" s="28"/>
      <c r="JC176" s="28"/>
      <c r="JD176" s="28"/>
      <c r="JE176" s="28"/>
      <c r="JF176" s="28"/>
      <c r="JG176" s="28"/>
      <c r="JH176" s="28"/>
      <c r="JI176" s="28"/>
    </row>
    <row r="177" spans="3:269" ht="18" hidden="1" customHeight="1" outlineLevel="1">
      <c r="C177" s="5"/>
      <c r="D177" s="26" t="s">
        <v>10</v>
      </c>
      <c r="E177" s="6"/>
      <c r="F177" s="6"/>
      <c r="G177" s="6"/>
      <c r="H177" s="9"/>
      <c r="I177" s="10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  <c r="JB177" s="27"/>
      <c r="JC177" s="27"/>
      <c r="JD177" s="27"/>
      <c r="JE177" s="27"/>
      <c r="JF177" s="27"/>
      <c r="JG177" s="27"/>
      <c r="JH177" s="27"/>
      <c r="JI177" s="27"/>
    </row>
    <row r="178" spans="3:269" ht="18" hidden="1" customHeight="1" outlineLevel="1">
      <c r="C178" s="5"/>
      <c r="D178" s="26" t="s">
        <v>10</v>
      </c>
      <c r="E178" s="6"/>
      <c r="F178" s="6"/>
      <c r="G178" s="6"/>
      <c r="H178" s="9"/>
      <c r="I178" s="10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  <c r="JB178" s="27"/>
      <c r="JC178" s="27"/>
      <c r="JD178" s="27"/>
      <c r="JE178" s="27"/>
      <c r="JF178" s="27"/>
      <c r="JG178" s="27"/>
      <c r="JH178" s="27"/>
      <c r="JI178" s="27"/>
    </row>
    <row r="179" spans="3:269" ht="18" hidden="1" customHeight="1" outlineLevel="1">
      <c r="C179" s="5"/>
      <c r="D179" s="26" t="s">
        <v>10</v>
      </c>
      <c r="E179" s="6"/>
      <c r="F179" s="6"/>
      <c r="G179" s="6"/>
      <c r="H179" s="9"/>
      <c r="I179" s="10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  <c r="GF179" s="28"/>
      <c r="GG179" s="28"/>
      <c r="GH179" s="28"/>
      <c r="GI179" s="28"/>
      <c r="GJ179" s="28"/>
      <c r="GK179" s="28"/>
      <c r="GL179" s="28"/>
      <c r="GM179" s="28"/>
      <c r="GN179" s="28"/>
      <c r="GO179" s="28"/>
      <c r="GP179" s="28"/>
      <c r="GQ179" s="28"/>
      <c r="GR179" s="28"/>
      <c r="GS179" s="28"/>
      <c r="GT179" s="28"/>
      <c r="GU179" s="28"/>
      <c r="GV179" s="28"/>
      <c r="GW179" s="28"/>
      <c r="GX179" s="28"/>
      <c r="GY179" s="28"/>
      <c r="GZ179" s="28"/>
      <c r="HA179" s="28"/>
      <c r="HB179" s="28"/>
      <c r="HC179" s="28"/>
      <c r="HD179" s="28"/>
      <c r="HE179" s="28"/>
      <c r="HF179" s="28"/>
      <c r="HG179" s="28"/>
      <c r="HH179" s="28"/>
      <c r="HI179" s="28"/>
      <c r="HJ179" s="28"/>
      <c r="HK179" s="28"/>
      <c r="HL179" s="28"/>
      <c r="HM179" s="28"/>
      <c r="HN179" s="28"/>
      <c r="HO179" s="28"/>
      <c r="HP179" s="28"/>
      <c r="HQ179" s="28"/>
      <c r="HR179" s="28"/>
      <c r="HS179" s="28"/>
      <c r="HT179" s="28"/>
      <c r="HU179" s="28"/>
      <c r="HV179" s="28"/>
      <c r="HW179" s="28"/>
      <c r="HX179" s="28"/>
      <c r="HY179" s="28"/>
      <c r="HZ179" s="28"/>
      <c r="IA179" s="28"/>
      <c r="IB179" s="28"/>
      <c r="IC179" s="28"/>
      <c r="ID179" s="28"/>
      <c r="IE179" s="28"/>
      <c r="IF179" s="28"/>
      <c r="IG179" s="28"/>
      <c r="IH179" s="28"/>
      <c r="II179" s="28"/>
      <c r="IJ179" s="28"/>
      <c r="IK179" s="28"/>
      <c r="IL179" s="28"/>
      <c r="IM179" s="28"/>
      <c r="IN179" s="28"/>
      <c r="IO179" s="28"/>
      <c r="IP179" s="28"/>
      <c r="IQ179" s="28"/>
      <c r="IR179" s="28"/>
      <c r="IS179" s="28"/>
      <c r="IT179" s="28"/>
      <c r="IU179" s="28"/>
      <c r="IV179" s="28"/>
      <c r="IW179" s="28"/>
      <c r="IX179" s="28"/>
      <c r="IY179" s="28"/>
      <c r="IZ179" s="28"/>
      <c r="JA179" s="28"/>
      <c r="JB179" s="28"/>
      <c r="JC179" s="28"/>
      <c r="JD179" s="28"/>
      <c r="JE179" s="28"/>
      <c r="JF179" s="28"/>
      <c r="JG179" s="28"/>
      <c r="JH179" s="28"/>
      <c r="JI179" s="28"/>
    </row>
    <row r="180" spans="3:269" ht="18" hidden="1" customHeight="1" outlineLevel="1">
      <c r="C180" s="5"/>
      <c r="D180" s="26" t="s">
        <v>10</v>
      </c>
      <c r="E180" s="6"/>
      <c r="F180" s="6"/>
      <c r="G180" s="6"/>
      <c r="H180" s="9"/>
      <c r="I180" s="10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  <c r="GF180" s="28"/>
      <c r="GG180" s="28"/>
      <c r="GH180" s="28"/>
      <c r="GI180" s="28"/>
      <c r="GJ180" s="28"/>
      <c r="GK180" s="28"/>
      <c r="GL180" s="28"/>
      <c r="GM180" s="28"/>
      <c r="GN180" s="28"/>
      <c r="GO180" s="28"/>
      <c r="GP180" s="28"/>
      <c r="GQ180" s="28"/>
      <c r="GR180" s="28"/>
      <c r="GS180" s="28"/>
      <c r="GT180" s="28"/>
      <c r="GU180" s="28"/>
      <c r="GV180" s="28"/>
      <c r="GW180" s="28"/>
      <c r="GX180" s="28"/>
      <c r="GY180" s="28"/>
      <c r="GZ180" s="28"/>
      <c r="HA180" s="28"/>
      <c r="HB180" s="28"/>
      <c r="HC180" s="28"/>
      <c r="HD180" s="28"/>
      <c r="HE180" s="28"/>
      <c r="HF180" s="28"/>
      <c r="HG180" s="28"/>
      <c r="HH180" s="28"/>
      <c r="HI180" s="28"/>
      <c r="HJ180" s="28"/>
      <c r="HK180" s="28"/>
      <c r="HL180" s="28"/>
      <c r="HM180" s="28"/>
      <c r="HN180" s="28"/>
      <c r="HO180" s="28"/>
      <c r="HP180" s="28"/>
      <c r="HQ180" s="28"/>
      <c r="HR180" s="28"/>
      <c r="HS180" s="28"/>
      <c r="HT180" s="28"/>
      <c r="HU180" s="28"/>
      <c r="HV180" s="28"/>
      <c r="HW180" s="28"/>
      <c r="HX180" s="28"/>
      <c r="HY180" s="28"/>
      <c r="HZ180" s="28"/>
      <c r="IA180" s="28"/>
      <c r="IB180" s="28"/>
      <c r="IC180" s="28"/>
      <c r="ID180" s="28"/>
      <c r="IE180" s="28"/>
      <c r="IF180" s="28"/>
      <c r="IG180" s="28"/>
      <c r="IH180" s="28"/>
      <c r="II180" s="28"/>
      <c r="IJ180" s="28"/>
      <c r="IK180" s="28"/>
      <c r="IL180" s="28"/>
      <c r="IM180" s="28"/>
      <c r="IN180" s="28"/>
      <c r="IO180" s="28"/>
      <c r="IP180" s="28"/>
      <c r="IQ180" s="28"/>
      <c r="IR180" s="28"/>
      <c r="IS180" s="28"/>
      <c r="IT180" s="28"/>
      <c r="IU180" s="28"/>
      <c r="IV180" s="28"/>
      <c r="IW180" s="28"/>
      <c r="IX180" s="28"/>
      <c r="IY180" s="28"/>
      <c r="IZ180" s="28"/>
      <c r="JA180" s="28"/>
      <c r="JB180" s="28"/>
      <c r="JC180" s="28"/>
      <c r="JD180" s="28"/>
      <c r="JE180" s="28"/>
      <c r="JF180" s="28"/>
      <c r="JG180" s="28"/>
      <c r="JH180" s="28"/>
      <c r="JI180" s="28"/>
    </row>
    <row r="181" spans="3:269" ht="18" hidden="1" customHeight="1" outlineLevel="1">
      <c r="C181" s="5"/>
      <c r="D181" s="26" t="s">
        <v>10</v>
      </c>
      <c r="E181" s="6"/>
      <c r="F181" s="6"/>
      <c r="G181" s="6"/>
      <c r="H181" s="9"/>
      <c r="I181" s="10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  <c r="FS181" s="27"/>
      <c r="FT181" s="27"/>
      <c r="FU181" s="27"/>
      <c r="FV181" s="27"/>
      <c r="FW181" s="27"/>
      <c r="FX181" s="27"/>
      <c r="FY181" s="27"/>
      <c r="FZ181" s="27"/>
      <c r="GA181" s="27"/>
      <c r="GB181" s="27"/>
      <c r="GC181" s="27"/>
      <c r="GD181" s="27"/>
      <c r="GE181" s="27"/>
      <c r="GF181" s="27"/>
      <c r="GG181" s="27"/>
      <c r="GH181" s="27"/>
      <c r="GI181" s="27"/>
      <c r="GJ181" s="27"/>
      <c r="GK181" s="27"/>
      <c r="GL181" s="27"/>
      <c r="GM181" s="27"/>
      <c r="GN181" s="27"/>
      <c r="GO181" s="27"/>
      <c r="GP181" s="27"/>
      <c r="GQ181" s="27"/>
      <c r="GR181" s="27"/>
      <c r="GS181" s="27"/>
      <c r="GT181" s="27"/>
      <c r="GU181" s="27"/>
      <c r="GV181" s="27"/>
      <c r="GW181" s="27"/>
      <c r="GX181" s="27"/>
      <c r="GY181" s="27"/>
      <c r="GZ181" s="27"/>
      <c r="HA181" s="27"/>
      <c r="HB181" s="27"/>
      <c r="HC181" s="27"/>
      <c r="HD181" s="27"/>
      <c r="HE181" s="27"/>
      <c r="HF181" s="27"/>
      <c r="HG181" s="27"/>
      <c r="HH181" s="27"/>
      <c r="HI181" s="27"/>
      <c r="HJ181" s="27"/>
      <c r="HK181" s="27"/>
      <c r="HL181" s="27"/>
      <c r="HM181" s="27"/>
      <c r="HN181" s="27"/>
      <c r="HO181" s="27"/>
      <c r="HP181" s="27"/>
      <c r="HQ181" s="27"/>
      <c r="HR181" s="27"/>
      <c r="HS181" s="27"/>
      <c r="HT181" s="27"/>
      <c r="HU181" s="27"/>
      <c r="HV181" s="27"/>
      <c r="HW181" s="27"/>
      <c r="HX181" s="27"/>
      <c r="HY181" s="27"/>
      <c r="HZ181" s="27"/>
      <c r="IA181" s="27"/>
      <c r="IB181" s="27"/>
      <c r="IC181" s="27"/>
      <c r="ID181" s="27"/>
      <c r="IE181" s="27"/>
      <c r="IF181" s="27"/>
      <c r="IG181" s="27"/>
      <c r="IH181" s="27"/>
      <c r="II181" s="27"/>
      <c r="IJ181" s="27"/>
      <c r="IK181" s="27"/>
      <c r="IL181" s="27"/>
      <c r="IM181" s="27"/>
      <c r="IN181" s="27"/>
      <c r="IO181" s="27"/>
      <c r="IP181" s="27"/>
      <c r="IQ181" s="27"/>
      <c r="IR181" s="27"/>
      <c r="IS181" s="27"/>
      <c r="IT181" s="27"/>
      <c r="IU181" s="27"/>
      <c r="IV181" s="27"/>
      <c r="IW181" s="27"/>
      <c r="IX181" s="27"/>
      <c r="IY181" s="27"/>
      <c r="IZ181" s="27"/>
      <c r="JA181" s="27"/>
      <c r="JB181" s="27"/>
      <c r="JC181" s="27"/>
      <c r="JD181" s="27"/>
      <c r="JE181" s="27"/>
      <c r="JF181" s="27"/>
      <c r="JG181" s="27"/>
      <c r="JH181" s="27"/>
      <c r="JI181" s="27"/>
    </row>
    <row r="182" spans="3:269" ht="18" hidden="1" customHeight="1" outlineLevel="1">
      <c r="C182" s="5"/>
      <c r="D182" s="26" t="s">
        <v>10</v>
      </c>
      <c r="E182" s="6"/>
      <c r="F182" s="6"/>
      <c r="G182" s="6"/>
      <c r="H182" s="9"/>
      <c r="I182" s="10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  <c r="FS182" s="27"/>
      <c r="FT182" s="27"/>
      <c r="FU182" s="27"/>
      <c r="FV182" s="27"/>
      <c r="FW182" s="27"/>
      <c r="FX182" s="27"/>
      <c r="FY182" s="27"/>
      <c r="FZ182" s="27"/>
      <c r="GA182" s="27"/>
      <c r="GB182" s="27"/>
      <c r="GC182" s="27"/>
      <c r="GD182" s="27"/>
      <c r="GE182" s="27"/>
      <c r="GF182" s="27"/>
      <c r="GG182" s="27"/>
      <c r="GH182" s="27"/>
      <c r="GI182" s="27"/>
      <c r="GJ182" s="27"/>
      <c r="GK182" s="27"/>
      <c r="GL182" s="27"/>
      <c r="GM182" s="27"/>
      <c r="GN182" s="27"/>
      <c r="GO182" s="27"/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27"/>
      <c r="HE182" s="27"/>
      <c r="HF182" s="27"/>
      <c r="HG182" s="27"/>
      <c r="HH182" s="27"/>
      <c r="HI182" s="27"/>
      <c r="HJ182" s="27"/>
      <c r="HK182" s="27"/>
      <c r="HL182" s="27"/>
      <c r="HM182" s="27"/>
      <c r="HN182" s="27"/>
      <c r="HO182" s="27"/>
      <c r="HP182" s="27"/>
      <c r="HQ182" s="27"/>
      <c r="HR182" s="27"/>
      <c r="HS182" s="27"/>
      <c r="HT182" s="27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27"/>
      <c r="IH182" s="27"/>
      <c r="II182" s="27"/>
      <c r="IJ182" s="27"/>
      <c r="IK182" s="27"/>
      <c r="IL182" s="27"/>
      <c r="IM182" s="27"/>
      <c r="IN182" s="27"/>
      <c r="IO182" s="27"/>
      <c r="IP182" s="27"/>
      <c r="IQ182" s="27"/>
      <c r="IR182" s="27"/>
      <c r="IS182" s="27"/>
      <c r="IT182" s="27"/>
      <c r="IU182" s="27"/>
      <c r="IV182" s="27"/>
      <c r="IW182" s="27"/>
      <c r="IX182" s="27"/>
      <c r="IY182" s="27"/>
      <c r="IZ182" s="27"/>
      <c r="JA182" s="27"/>
      <c r="JB182" s="27"/>
      <c r="JC182" s="27"/>
      <c r="JD182" s="27"/>
      <c r="JE182" s="27"/>
      <c r="JF182" s="27"/>
      <c r="JG182" s="27"/>
      <c r="JH182" s="27"/>
      <c r="JI182" s="27"/>
    </row>
    <row r="183" spans="3:269" ht="18" hidden="1" customHeight="1" outlineLevel="1">
      <c r="C183" s="5"/>
      <c r="D183" s="26" t="s">
        <v>10</v>
      </c>
      <c r="E183" s="6"/>
      <c r="F183" s="6"/>
      <c r="G183" s="6"/>
      <c r="H183" s="9"/>
      <c r="I183" s="10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  <c r="FS183" s="27"/>
      <c r="FT183" s="27"/>
      <c r="FU183" s="27"/>
      <c r="FV183" s="27"/>
      <c r="FW183" s="27"/>
      <c r="FX183" s="27"/>
      <c r="FY183" s="27"/>
      <c r="FZ183" s="27"/>
      <c r="GA183" s="27"/>
      <c r="GB183" s="27"/>
      <c r="GC183" s="27"/>
      <c r="GD183" s="27"/>
      <c r="GE183" s="27"/>
      <c r="GF183" s="27"/>
      <c r="GG183" s="27"/>
      <c r="GH183" s="27"/>
      <c r="GI183" s="27"/>
      <c r="GJ183" s="27"/>
      <c r="GK183" s="27"/>
      <c r="GL183" s="27"/>
      <c r="GM183" s="27"/>
      <c r="GN183" s="27"/>
      <c r="GO183" s="27"/>
      <c r="GP183" s="27"/>
      <c r="GQ183" s="27"/>
      <c r="GR183" s="27"/>
      <c r="GS183" s="27"/>
      <c r="GT183" s="27"/>
      <c r="GU183" s="27"/>
      <c r="GV183" s="27"/>
      <c r="GW183" s="27"/>
      <c r="GX183" s="27"/>
      <c r="GY183" s="27"/>
      <c r="GZ183" s="27"/>
      <c r="HA183" s="27"/>
      <c r="HB183" s="27"/>
      <c r="HC183" s="27"/>
      <c r="HD183" s="27"/>
      <c r="HE183" s="27"/>
      <c r="HF183" s="27"/>
      <c r="HG183" s="27"/>
      <c r="HH183" s="27"/>
      <c r="HI183" s="27"/>
      <c r="HJ183" s="27"/>
      <c r="HK183" s="27"/>
      <c r="HL183" s="27"/>
      <c r="HM183" s="27"/>
      <c r="HN183" s="27"/>
      <c r="HO183" s="27"/>
      <c r="HP183" s="27"/>
      <c r="HQ183" s="27"/>
      <c r="HR183" s="27"/>
      <c r="HS183" s="27"/>
      <c r="HT183" s="27"/>
      <c r="HU183" s="27"/>
      <c r="HV183" s="27"/>
      <c r="HW183" s="27"/>
      <c r="HX183" s="27"/>
      <c r="HY183" s="27"/>
      <c r="HZ183" s="27"/>
      <c r="IA183" s="27"/>
      <c r="IB183" s="27"/>
      <c r="IC183" s="27"/>
      <c r="ID183" s="27"/>
      <c r="IE183" s="27"/>
      <c r="IF183" s="27"/>
      <c r="IG183" s="27"/>
      <c r="IH183" s="27"/>
      <c r="II183" s="27"/>
      <c r="IJ183" s="27"/>
      <c r="IK183" s="27"/>
      <c r="IL183" s="27"/>
      <c r="IM183" s="27"/>
      <c r="IN183" s="27"/>
      <c r="IO183" s="27"/>
      <c r="IP183" s="27"/>
      <c r="IQ183" s="27"/>
      <c r="IR183" s="27"/>
      <c r="IS183" s="27"/>
      <c r="IT183" s="27"/>
      <c r="IU183" s="27"/>
      <c r="IV183" s="27"/>
      <c r="IW183" s="27"/>
      <c r="IX183" s="27"/>
      <c r="IY183" s="27"/>
      <c r="IZ183" s="27"/>
      <c r="JA183" s="27"/>
      <c r="JB183" s="27"/>
      <c r="JC183" s="27"/>
      <c r="JD183" s="27"/>
      <c r="JE183" s="27"/>
      <c r="JF183" s="27"/>
      <c r="JG183" s="27"/>
      <c r="JH183" s="27"/>
      <c r="JI183" s="27"/>
    </row>
    <row r="184" spans="3:269" ht="18" hidden="1" customHeight="1" outlineLevel="1">
      <c r="C184" s="5"/>
      <c r="D184" s="26" t="s">
        <v>10</v>
      </c>
      <c r="E184" s="6"/>
      <c r="F184" s="6"/>
      <c r="G184" s="6"/>
      <c r="H184" s="9"/>
      <c r="I184" s="10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  <c r="FS184" s="27"/>
      <c r="FT184" s="27"/>
      <c r="FU184" s="27"/>
      <c r="FV184" s="27"/>
      <c r="FW184" s="27"/>
      <c r="FX184" s="27"/>
      <c r="FY184" s="27"/>
      <c r="FZ184" s="27"/>
      <c r="GA184" s="27"/>
      <c r="GB184" s="27"/>
      <c r="GC184" s="27"/>
      <c r="GD184" s="27"/>
      <c r="GE184" s="27"/>
      <c r="GF184" s="27"/>
      <c r="GG184" s="27"/>
      <c r="GH184" s="27"/>
      <c r="GI184" s="27"/>
      <c r="GJ184" s="27"/>
      <c r="GK184" s="27"/>
      <c r="GL184" s="27"/>
      <c r="GM184" s="27"/>
      <c r="GN184" s="27"/>
      <c r="GO184" s="27"/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27"/>
      <c r="HE184" s="27"/>
      <c r="HF184" s="27"/>
      <c r="HG184" s="27"/>
      <c r="HH184" s="27"/>
      <c r="HI184" s="27"/>
      <c r="HJ184" s="27"/>
      <c r="HK184" s="27"/>
      <c r="HL184" s="27"/>
      <c r="HM184" s="27"/>
      <c r="HN184" s="27"/>
      <c r="HO184" s="27"/>
      <c r="HP184" s="27"/>
      <c r="HQ184" s="27"/>
      <c r="HR184" s="27"/>
      <c r="HS184" s="27"/>
      <c r="HT184" s="27"/>
      <c r="HU184" s="27"/>
      <c r="HV184" s="27"/>
      <c r="HW184" s="27"/>
      <c r="HX184" s="27"/>
      <c r="HY184" s="27"/>
      <c r="HZ184" s="27"/>
      <c r="IA184" s="27"/>
      <c r="IB184" s="27"/>
      <c r="IC184" s="27"/>
      <c r="ID184" s="27"/>
      <c r="IE184" s="27"/>
      <c r="IF184" s="27"/>
      <c r="IG184" s="27"/>
      <c r="IH184" s="27"/>
      <c r="II184" s="27"/>
      <c r="IJ184" s="27"/>
      <c r="IK184" s="27"/>
      <c r="IL184" s="27"/>
      <c r="IM184" s="27"/>
      <c r="IN184" s="27"/>
      <c r="IO184" s="27"/>
      <c r="IP184" s="27"/>
      <c r="IQ184" s="27"/>
      <c r="IR184" s="27"/>
      <c r="IS184" s="27"/>
      <c r="IT184" s="27"/>
      <c r="IU184" s="27"/>
      <c r="IV184" s="27"/>
      <c r="IW184" s="27"/>
      <c r="IX184" s="27"/>
      <c r="IY184" s="27"/>
      <c r="IZ184" s="27"/>
      <c r="JA184" s="27"/>
      <c r="JB184" s="27"/>
      <c r="JC184" s="27"/>
      <c r="JD184" s="27"/>
      <c r="JE184" s="27"/>
      <c r="JF184" s="27"/>
      <c r="JG184" s="27"/>
      <c r="JH184" s="27"/>
      <c r="JI184" s="27"/>
    </row>
    <row r="185" spans="3:269" ht="18" hidden="1" customHeight="1" outlineLevel="1">
      <c r="C185" s="5"/>
      <c r="D185" s="26" t="s">
        <v>10</v>
      </c>
      <c r="E185" s="6"/>
      <c r="F185" s="6"/>
      <c r="G185" s="6"/>
      <c r="H185" s="9"/>
      <c r="I185" s="10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  <c r="FS185" s="27"/>
      <c r="FT185" s="27"/>
      <c r="FU185" s="27"/>
      <c r="FV185" s="27"/>
      <c r="FW185" s="27"/>
      <c r="FX185" s="27"/>
      <c r="FY185" s="27"/>
      <c r="FZ185" s="27"/>
      <c r="GA185" s="27"/>
      <c r="GB185" s="27"/>
      <c r="GC185" s="27"/>
      <c r="GD185" s="27"/>
      <c r="GE185" s="27"/>
      <c r="GF185" s="27"/>
      <c r="GG185" s="27"/>
      <c r="GH185" s="27"/>
      <c r="GI185" s="27"/>
      <c r="GJ185" s="27"/>
      <c r="GK185" s="27"/>
      <c r="GL185" s="27"/>
      <c r="GM185" s="27"/>
      <c r="GN185" s="27"/>
      <c r="GO185" s="27"/>
      <c r="GP185" s="27"/>
      <c r="GQ185" s="27"/>
      <c r="GR185" s="27"/>
      <c r="GS185" s="27"/>
      <c r="GT185" s="27"/>
      <c r="GU185" s="27"/>
      <c r="GV185" s="27"/>
      <c r="GW185" s="27"/>
      <c r="GX185" s="27"/>
      <c r="GY185" s="27"/>
      <c r="GZ185" s="27"/>
      <c r="HA185" s="27"/>
      <c r="HB185" s="27"/>
      <c r="HC185" s="27"/>
      <c r="HD185" s="27"/>
      <c r="HE185" s="27"/>
      <c r="HF185" s="27"/>
      <c r="HG185" s="27"/>
      <c r="HH185" s="27"/>
      <c r="HI185" s="27"/>
      <c r="HJ185" s="27"/>
      <c r="HK185" s="27"/>
      <c r="HL185" s="27"/>
      <c r="HM185" s="27"/>
      <c r="HN185" s="27"/>
      <c r="HO185" s="27"/>
      <c r="HP185" s="27"/>
      <c r="HQ185" s="27"/>
      <c r="HR185" s="27"/>
      <c r="HS185" s="27"/>
      <c r="HT185" s="27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27"/>
      <c r="IH185" s="27"/>
      <c r="II185" s="27"/>
      <c r="IJ185" s="27"/>
      <c r="IK185" s="27"/>
      <c r="IL185" s="27"/>
      <c r="IM185" s="27"/>
      <c r="IN185" s="27"/>
      <c r="IO185" s="27"/>
      <c r="IP185" s="27"/>
      <c r="IQ185" s="27"/>
      <c r="IR185" s="27"/>
      <c r="IS185" s="27"/>
      <c r="IT185" s="27"/>
      <c r="IU185" s="27"/>
      <c r="IV185" s="27"/>
      <c r="IW185" s="27"/>
      <c r="IX185" s="27"/>
      <c r="IY185" s="27"/>
      <c r="IZ185" s="27"/>
      <c r="JA185" s="27"/>
      <c r="JB185" s="27"/>
      <c r="JC185" s="27"/>
      <c r="JD185" s="27"/>
      <c r="JE185" s="27"/>
      <c r="JF185" s="27"/>
      <c r="JG185" s="27"/>
      <c r="JH185" s="27"/>
      <c r="JI185" s="27"/>
    </row>
    <row r="186" spans="3:269" ht="18" hidden="1" customHeight="1" outlineLevel="1">
      <c r="C186" s="5"/>
      <c r="D186" s="26" t="s">
        <v>10</v>
      </c>
      <c r="E186" s="6"/>
      <c r="F186" s="6"/>
      <c r="G186" s="6"/>
      <c r="H186" s="9"/>
      <c r="I186" s="10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  <c r="FS186" s="27"/>
      <c r="FT186" s="27"/>
      <c r="FU186" s="27"/>
      <c r="FV186" s="27"/>
      <c r="FW186" s="27"/>
      <c r="FX186" s="27"/>
      <c r="FY186" s="27"/>
      <c r="FZ186" s="27"/>
      <c r="GA186" s="27"/>
      <c r="GB186" s="27"/>
      <c r="GC186" s="27"/>
      <c r="GD186" s="27"/>
      <c r="GE186" s="27"/>
      <c r="GF186" s="27"/>
      <c r="GG186" s="27"/>
      <c r="GH186" s="27"/>
      <c r="GI186" s="27"/>
      <c r="GJ186" s="27"/>
      <c r="GK186" s="27"/>
      <c r="GL186" s="27"/>
      <c r="GM186" s="27"/>
      <c r="GN186" s="27"/>
      <c r="GO186" s="27"/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27"/>
      <c r="HE186" s="27"/>
      <c r="HF186" s="27"/>
      <c r="HG186" s="27"/>
      <c r="HH186" s="27"/>
      <c r="HI186" s="27"/>
      <c r="HJ186" s="27"/>
      <c r="HK186" s="27"/>
      <c r="HL186" s="27"/>
      <c r="HM186" s="27"/>
      <c r="HN186" s="27"/>
      <c r="HO186" s="27"/>
      <c r="HP186" s="27"/>
      <c r="HQ186" s="27"/>
      <c r="HR186" s="27"/>
      <c r="HS186" s="27"/>
      <c r="HT186" s="27"/>
      <c r="HU186" s="27"/>
      <c r="HV186" s="27"/>
      <c r="HW186" s="27"/>
      <c r="HX186" s="27"/>
      <c r="HY186" s="27"/>
      <c r="HZ186" s="27"/>
      <c r="IA186" s="27"/>
      <c r="IB186" s="27"/>
      <c r="IC186" s="27"/>
      <c r="ID186" s="27"/>
      <c r="IE186" s="27"/>
      <c r="IF186" s="27"/>
      <c r="IG186" s="27"/>
      <c r="IH186" s="27"/>
      <c r="II186" s="27"/>
      <c r="IJ186" s="27"/>
      <c r="IK186" s="27"/>
      <c r="IL186" s="27"/>
      <c r="IM186" s="27"/>
      <c r="IN186" s="27"/>
      <c r="IO186" s="27"/>
      <c r="IP186" s="27"/>
      <c r="IQ186" s="27"/>
      <c r="IR186" s="27"/>
      <c r="IS186" s="27"/>
      <c r="IT186" s="27"/>
      <c r="IU186" s="27"/>
      <c r="IV186" s="27"/>
      <c r="IW186" s="27"/>
      <c r="IX186" s="27"/>
      <c r="IY186" s="27"/>
      <c r="IZ186" s="27"/>
      <c r="JA186" s="27"/>
      <c r="JB186" s="27"/>
      <c r="JC186" s="27"/>
      <c r="JD186" s="27"/>
      <c r="JE186" s="27"/>
      <c r="JF186" s="27"/>
      <c r="JG186" s="27"/>
      <c r="JH186" s="27"/>
      <c r="JI186" s="27"/>
    </row>
    <row r="187" spans="3:269" ht="18" hidden="1" customHeight="1" outlineLevel="1">
      <c r="C187" s="5"/>
      <c r="D187" s="26" t="s">
        <v>10</v>
      </c>
      <c r="E187" s="6"/>
      <c r="F187" s="6"/>
      <c r="G187" s="6"/>
      <c r="H187" s="9"/>
      <c r="I187" s="10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  <c r="JB187" s="27"/>
      <c r="JC187" s="27"/>
      <c r="JD187" s="27"/>
      <c r="JE187" s="27"/>
      <c r="JF187" s="27"/>
      <c r="JG187" s="27"/>
      <c r="JH187" s="27"/>
      <c r="JI187" s="27"/>
    </row>
    <row r="188" spans="3:269" ht="18" hidden="1" customHeight="1" outlineLevel="1">
      <c r="C188" s="5"/>
      <c r="D188" s="26" t="s">
        <v>10</v>
      </c>
      <c r="E188" s="6"/>
      <c r="F188" s="6"/>
      <c r="G188" s="6"/>
      <c r="H188" s="9"/>
      <c r="I188" s="10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  <c r="FS188" s="27"/>
      <c r="FT188" s="27"/>
      <c r="FU188" s="27"/>
      <c r="FV188" s="27"/>
      <c r="FW188" s="27"/>
      <c r="FX188" s="27"/>
      <c r="FY188" s="27"/>
      <c r="FZ188" s="27"/>
      <c r="GA188" s="27"/>
      <c r="GB188" s="27"/>
      <c r="GC188" s="27"/>
      <c r="GD188" s="27"/>
      <c r="GE188" s="27"/>
      <c r="GF188" s="27"/>
      <c r="GG188" s="27"/>
      <c r="GH188" s="27"/>
      <c r="GI188" s="27"/>
      <c r="GJ188" s="27"/>
      <c r="GK188" s="27"/>
      <c r="GL188" s="27"/>
      <c r="GM188" s="27"/>
      <c r="GN188" s="27"/>
      <c r="GO188" s="27"/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27"/>
      <c r="HE188" s="27"/>
      <c r="HF188" s="27"/>
      <c r="HG188" s="27"/>
      <c r="HH188" s="27"/>
      <c r="HI188" s="27"/>
      <c r="HJ188" s="27"/>
      <c r="HK188" s="27"/>
      <c r="HL188" s="27"/>
      <c r="HM188" s="27"/>
      <c r="HN188" s="27"/>
      <c r="HO188" s="27"/>
      <c r="HP188" s="27"/>
      <c r="HQ188" s="27"/>
      <c r="HR188" s="27"/>
      <c r="HS188" s="27"/>
      <c r="HT188" s="27"/>
      <c r="HU188" s="27"/>
      <c r="HV188" s="27"/>
      <c r="HW188" s="27"/>
      <c r="HX188" s="27"/>
      <c r="HY188" s="27"/>
      <c r="HZ188" s="27"/>
      <c r="IA188" s="27"/>
      <c r="IB188" s="27"/>
      <c r="IC188" s="27"/>
      <c r="ID188" s="27"/>
      <c r="IE188" s="27"/>
      <c r="IF188" s="27"/>
      <c r="IG188" s="27"/>
      <c r="IH188" s="27"/>
      <c r="II188" s="27"/>
      <c r="IJ188" s="27"/>
      <c r="IK188" s="27"/>
      <c r="IL188" s="27"/>
      <c r="IM188" s="27"/>
      <c r="IN188" s="27"/>
      <c r="IO188" s="27"/>
      <c r="IP188" s="27"/>
      <c r="IQ188" s="27"/>
      <c r="IR188" s="27"/>
      <c r="IS188" s="27"/>
      <c r="IT188" s="27"/>
      <c r="IU188" s="27"/>
      <c r="IV188" s="27"/>
      <c r="IW188" s="27"/>
      <c r="IX188" s="27"/>
      <c r="IY188" s="27"/>
      <c r="IZ188" s="27"/>
      <c r="JA188" s="27"/>
      <c r="JB188" s="27"/>
      <c r="JC188" s="27"/>
      <c r="JD188" s="27"/>
      <c r="JE188" s="27"/>
      <c r="JF188" s="27"/>
      <c r="JG188" s="27"/>
      <c r="JH188" s="27"/>
      <c r="JI188" s="27"/>
    </row>
    <row r="189" spans="3:269" ht="18" hidden="1" customHeight="1" outlineLevel="1">
      <c r="C189" s="5"/>
      <c r="D189" s="26" t="s">
        <v>10</v>
      </c>
      <c r="E189" s="6"/>
      <c r="F189" s="6"/>
      <c r="G189" s="6"/>
      <c r="H189" s="9"/>
      <c r="I189" s="10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  <c r="IN189" s="27"/>
      <c r="IO189" s="27"/>
      <c r="IP189" s="27"/>
      <c r="IQ189" s="27"/>
      <c r="IR189" s="27"/>
      <c r="IS189" s="27"/>
      <c r="IT189" s="27"/>
      <c r="IU189" s="27"/>
      <c r="IV189" s="27"/>
      <c r="IW189" s="27"/>
      <c r="IX189" s="27"/>
      <c r="IY189" s="27"/>
      <c r="IZ189" s="27"/>
      <c r="JA189" s="27"/>
      <c r="JB189" s="27"/>
      <c r="JC189" s="27"/>
      <c r="JD189" s="27"/>
      <c r="JE189" s="27"/>
      <c r="JF189" s="27"/>
      <c r="JG189" s="27"/>
      <c r="JH189" s="27"/>
      <c r="JI189" s="27"/>
    </row>
    <row r="190" spans="3:269" ht="18" hidden="1" customHeight="1" outlineLevel="1">
      <c r="C190" s="5"/>
      <c r="D190" s="26" t="s">
        <v>10</v>
      </c>
      <c r="E190" s="6"/>
      <c r="F190" s="6"/>
      <c r="G190" s="6"/>
      <c r="H190" s="9"/>
      <c r="I190" s="10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27"/>
      <c r="HE190" s="27"/>
      <c r="HF190" s="27"/>
      <c r="HG190" s="27"/>
      <c r="HH190" s="27"/>
      <c r="HI190" s="27"/>
      <c r="HJ190" s="27"/>
      <c r="HK190" s="27"/>
      <c r="HL190" s="27"/>
      <c r="HM190" s="27"/>
      <c r="HN190" s="27"/>
      <c r="HO190" s="27"/>
      <c r="HP190" s="27"/>
      <c r="HQ190" s="27"/>
      <c r="HR190" s="27"/>
      <c r="HS190" s="27"/>
      <c r="HT190" s="27"/>
      <c r="HU190" s="27"/>
      <c r="HV190" s="27"/>
      <c r="HW190" s="27"/>
      <c r="HX190" s="27"/>
      <c r="HY190" s="27"/>
      <c r="HZ190" s="27"/>
      <c r="IA190" s="27"/>
      <c r="IB190" s="27"/>
      <c r="IC190" s="27"/>
      <c r="ID190" s="27"/>
      <c r="IE190" s="27"/>
      <c r="IF190" s="27"/>
      <c r="IG190" s="27"/>
      <c r="IH190" s="27"/>
      <c r="II190" s="27"/>
      <c r="IJ190" s="27"/>
      <c r="IK190" s="27"/>
      <c r="IL190" s="27"/>
      <c r="IM190" s="27"/>
      <c r="IN190" s="27"/>
      <c r="IO190" s="27"/>
      <c r="IP190" s="27"/>
      <c r="IQ190" s="27"/>
      <c r="IR190" s="27"/>
      <c r="IS190" s="27"/>
      <c r="IT190" s="27"/>
      <c r="IU190" s="27"/>
      <c r="IV190" s="27"/>
      <c r="IW190" s="27"/>
      <c r="IX190" s="27"/>
      <c r="IY190" s="27"/>
      <c r="IZ190" s="27"/>
      <c r="JA190" s="27"/>
      <c r="JB190" s="27"/>
      <c r="JC190" s="27"/>
      <c r="JD190" s="27"/>
      <c r="JE190" s="27"/>
      <c r="JF190" s="27"/>
      <c r="JG190" s="27"/>
      <c r="JH190" s="27"/>
      <c r="JI190" s="27"/>
    </row>
    <row r="191" spans="3:269" ht="18" hidden="1" customHeight="1" outlineLevel="1">
      <c r="C191" s="5"/>
      <c r="D191" s="26" t="s">
        <v>10</v>
      </c>
      <c r="E191" s="6"/>
      <c r="F191" s="6"/>
      <c r="G191" s="6"/>
      <c r="H191" s="9"/>
      <c r="I191" s="10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  <c r="FS191" s="27"/>
      <c r="FT191" s="27"/>
      <c r="FU191" s="27"/>
      <c r="FV191" s="27"/>
      <c r="FW191" s="27"/>
      <c r="FX191" s="27"/>
      <c r="FY191" s="27"/>
      <c r="FZ191" s="27"/>
      <c r="GA191" s="27"/>
      <c r="GB191" s="27"/>
      <c r="GC191" s="27"/>
      <c r="GD191" s="27"/>
      <c r="GE191" s="27"/>
      <c r="GF191" s="27"/>
      <c r="GG191" s="27"/>
      <c r="GH191" s="27"/>
      <c r="GI191" s="27"/>
      <c r="GJ191" s="27"/>
      <c r="GK191" s="27"/>
      <c r="GL191" s="27"/>
      <c r="GM191" s="27"/>
      <c r="GN191" s="27"/>
      <c r="GO191" s="27"/>
      <c r="GP191" s="27"/>
      <c r="GQ191" s="27"/>
      <c r="GR191" s="27"/>
      <c r="GS191" s="27"/>
      <c r="GT191" s="27"/>
      <c r="GU191" s="27"/>
      <c r="GV191" s="27"/>
      <c r="GW191" s="27"/>
      <c r="GX191" s="27"/>
      <c r="GY191" s="27"/>
      <c r="GZ191" s="27"/>
      <c r="HA191" s="27"/>
      <c r="HB191" s="27"/>
      <c r="HC191" s="27"/>
      <c r="HD191" s="27"/>
      <c r="HE191" s="27"/>
      <c r="HF191" s="27"/>
      <c r="HG191" s="27"/>
      <c r="HH191" s="27"/>
      <c r="HI191" s="27"/>
      <c r="HJ191" s="27"/>
      <c r="HK191" s="27"/>
      <c r="HL191" s="27"/>
      <c r="HM191" s="27"/>
      <c r="HN191" s="27"/>
      <c r="HO191" s="27"/>
      <c r="HP191" s="27"/>
      <c r="HQ191" s="27"/>
      <c r="HR191" s="27"/>
      <c r="HS191" s="27"/>
      <c r="HT191" s="27"/>
      <c r="HU191" s="27"/>
      <c r="HV191" s="27"/>
      <c r="HW191" s="27"/>
      <c r="HX191" s="27"/>
      <c r="HY191" s="27"/>
      <c r="HZ191" s="27"/>
      <c r="IA191" s="27"/>
      <c r="IB191" s="27"/>
      <c r="IC191" s="27"/>
      <c r="ID191" s="27"/>
      <c r="IE191" s="27"/>
      <c r="IF191" s="27"/>
      <c r="IG191" s="27"/>
      <c r="IH191" s="27"/>
      <c r="II191" s="27"/>
      <c r="IJ191" s="27"/>
      <c r="IK191" s="27"/>
      <c r="IL191" s="27"/>
      <c r="IM191" s="27"/>
      <c r="IN191" s="27"/>
      <c r="IO191" s="27"/>
      <c r="IP191" s="27"/>
      <c r="IQ191" s="27"/>
      <c r="IR191" s="27"/>
      <c r="IS191" s="27"/>
      <c r="IT191" s="27"/>
      <c r="IU191" s="27"/>
      <c r="IV191" s="27"/>
      <c r="IW191" s="27"/>
      <c r="IX191" s="27"/>
      <c r="IY191" s="27"/>
      <c r="IZ191" s="27"/>
      <c r="JA191" s="27"/>
      <c r="JB191" s="27"/>
      <c r="JC191" s="27"/>
      <c r="JD191" s="27"/>
      <c r="JE191" s="27"/>
      <c r="JF191" s="27"/>
      <c r="JG191" s="27"/>
      <c r="JH191" s="27"/>
      <c r="JI191" s="27"/>
    </row>
    <row r="192" spans="3:269" ht="18" hidden="1" customHeight="1" outlineLevel="1">
      <c r="C192" s="5"/>
      <c r="D192" s="26" t="s">
        <v>10</v>
      </c>
      <c r="E192" s="6"/>
      <c r="F192" s="6"/>
      <c r="G192" s="6"/>
      <c r="H192" s="9"/>
      <c r="I192" s="10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27"/>
      <c r="IX192" s="27"/>
      <c r="IY192" s="27"/>
      <c r="IZ192" s="27"/>
      <c r="JA192" s="27"/>
      <c r="JB192" s="27"/>
      <c r="JC192" s="27"/>
      <c r="JD192" s="27"/>
      <c r="JE192" s="27"/>
      <c r="JF192" s="27"/>
      <c r="JG192" s="27"/>
      <c r="JH192" s="27"/>
      <c r="JI192" s="27"/>
    </row>
    <row r="193" spans="3:269" ht="18" hidden="1" customHeight="1" outlineLevel="1">
      <c r="C193" s="5"/>
      <c r="D193" s="26" t="s">
        <v>10</v>
      </c>
      <c r="E193" s="6"/>
      <c r="F193" s="6"/>
      <c r="G193" s="6"/>
      <c r="H193" s="9"/>
      <c r="I193" s="10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  <c r="FS193" s="27"/>
      <c r="FT193" s="27"/>
      <c r="FU193" s="27"/>
      <c r="FV193" s="27"/>
      <c r="FW193" s="27"/>
      <c r="FX193" s="27"/>
      <c r="FY193" s="27"/>
      <c r="FZ193" s="27"/>
      <c r="GA193" s="27"/>
      <c r="GB193" s="27"/>
      <c r="GC193" s="27"/>
      <c r="GD193" s="27"/>
      <c r="GE193" s="27"/>
      <c r="GF193" s="27"/>
      <c r="GG193" s="27"/>
      <c r="GH193" s="27"/>
      <c r="GI193" s="27"/>
      <c r="GJ193" s="27"/>
      <c r="GK193" s="27"/>
      <c r="GL193" s="27"/>
      <c r="GM193" s="27"/>
      <c r="GN193" s="27"/>
      <c r="GO193" s="27"/>
      <c r="GP193" s="27"/>
      <c r="GQ193" s="27"/>
      <c r="GR193" s="27"/>
      <c r="GS193" s="27"/>
      <c r="GT193" s="27"/>
      <c r="GU193" s="27"/>
      <c r="GV193" s="27"/>
      <c r="GW193" s="27"/>
      <c r="GX193" s="27"/>
      <c r="GY193" s="27"/>
      <c r="GZ193" s="27"/>
      <c r="HA193" s="27"/>
      <c r="HB193" s="27"/>
      <c r="HC193" s="27"/>
      <c r="HD193" s="27"/>
      <c r="HE193" s="27"/>
      <c r="HF193" s="27"/>
      <c r="HG193" s="27"/>
      <c r="HH193" s="27"/>
      <c r="HI193" s="27"/>
      <c r="HJ193" s="27"/>
      <c r="HK193" s="27"/>
      <c r="HL193" s="27"/>
      <c r="HM193" s="27"/>
      <c r="HN193" s="27"/>
      <c r="HO193" s="27"/>
      <c r="HP193" s="27"/>
      <c r="HQ193" s="27"/>
      <c r="HR193" s="27"/>
      <c r="HS193" s="27"/>
      <c r="HT193" s="27"/>
      <c r="HU193" s="27"/>
      <c r="HV193" s="27"/>
      <c r="HW193" s="27"/>
      <c r="HX193" s="27"/>
      <c r="HY193" s="27"/>
      <c r="HZ193" s="27"/>
      <c r="IA193" s="27"/>
      <c r="IB193" s="27"/>
      <c r="IC193" s="27"/>
      <c r="ID193" s="27"/>
      <c r="IE193" s="27"/>
      <c r="IF193" s="27"/>
      <c r="IG193" s="27"/>
      <c r="IH193" s="27"/>
      <c r="II193" s="27"/>
      <c r="IJ193" s="27"/>
      <c r="IK193" s="27"/>
      <c r="IL193" s="27"/>
      <c r="IM193" s="27"/>
      <c r="IN193" s="27"/>
      <c r="IO193" s="27"/>
      <c r="IP193" s="27"/>
      <c r="IQ193" s="27"/>
      <c r="IR193" s="27"/>
      <c r="IS193" s="27"/>
      <c r="IT193" s="27"/>
      <c r="IU193" s="27"/>
      <c r="IV193" s="27"/>
      <c r="IW193" s="27"/>
      <c r="IX193" s="27"/>
      <c r="IY193" s="27"/>
      <c r="IZ193" s="27"/>
      <c r="JA193" s="27"/>
      <c r="JB193" s="27"/>
      <c r="JC193" s="27"/>
      <c r="JD193" s="27"/>
      <c r="JE193" s="27"/>
      <c r="JF193" s="27"/>
      <c r="JG193" s="27"/>
      <c r="JH193" s="27"/>
      <c r="JI193" s="27"/>
    </row>
    <row r="194" spans="3:269" ht="18" customHeight="1" collapsed="1"/>
  </sheetData>
  <mergeCells count="2">
    <mergeCell ref="D3:D4"/>
    <mergeCell ref="E3:G3"/>
  </mergeCells>
  <conditionalFormatting sqref="J4:AV4 BG4:BO4">
    <cfRule type="expression" dxfId="307" priority="1050">
      <formula>AND(TODAY()&gt;=J4,TODAY()&lt;K4)</formula>
    </cfRule>
    <cfRule type="expression" dxfId="306" priority="1051">
      <formula>J$2=-1</formula>
    </cfRule>
  </conditionalFormatting>
  <conditionalFormatting sqref="J3:AV3 BG3:BO3">
    <cfRule type="expression" dxfId="305" priority="1048">
      <formula>AND(TODAY()&gt;=J4,TODAY()&lt;K4)</formula>
    </cfRule>
    <cfRule type="expression" dxfId="304" priority="1049">
      <formula>J$2=-1</formula>
    </cfRule>
  </conditionalFormatting>
  <conditionalFormatting sqref="AW4:BF4">
    <cfRule type="expression" dxfId="303" priority="576">
      <formula>AND(TODAY()&gt;=AW4,TODAY()&lt;AX4)</formula>
    </cfRule>
    <cfRule type="expression" dxfId="302" priority="577">
      <formula>AW$2=-1</formula>
    </cfRule>
  </conditionalFormatting>
  <conditionalFormatting sqref="AW3:BF3">
    <cfRule type="expression" dxfId="301" priority="574">
      <formula>AND(TODAY()&gt;=AW4,TODAY()&lt;AX4)</formula>
    </cfRule>
    <cfRule type="expression" dxfId="300" priority="575">
      <formula>AW$2=-1</formula>
    </cfRule>
  </conditionalFormatting>
  <conditionalFormatting sqref="BP4">
    <cfRule type="expression" dxfId="299" priority="1470">
      <formula>AND(TODAY()&gt;=BP4,TODAY()&lt;BR4)</formula>
    </cfRule>
    <cfRule type="expression" dxfId="298" priority="1471">
      <formula>BP$2=-1</formula>
    </cfRule>
  </conditionalFormatting>
  <conditionalFormatting sqref="BP3">
    <cfRule type="expression" dxfId="297" priority="1474">
      <formula>AND(TODAY()&gt;=BP4,TODAY()&lt;BR4)</formula>
    </cfRule>
    <cfRule type="expression" dxfId="296" priority="1475">
      <formula>BP$2=-1</formula>
    </cfRule>
  </conditionalFormatting>
  <conditionalFormatting sqref="BQ4:BY4">
    <cfRule type="expression" dxfId="295" priority="550">
      <formula>AND(TODAY()&gt;=BQ4,TODAY()&lt;BR4)</formula>
    </cfRule>
    <cfRule type="expression" dxfId="294" priority="551">
      <formula>BQ$2=-1</formula>
    </cfRule>
  </conditionalFormatting>
  <conditionalFormatting sqref="BQ3:BY3">
    <cfRule type="expression" dxfId="293" priority="548">
      <formula>AND(TODAY()&gt;=BQ4,TODAY()&lt;BR4)</formula>
    </cfRule>
    <cfRule type="expression" dxfId="292" priority="549">
      <formula>BQ$2=-1</formula>
    </cfRule>
  </conditionalFormatting>
  <conditionalFormatting sqref="BZ4">
    <cfRule type="expression" dxfId="291" priority="552">
      <formula>AND(TODAY()&gt;=BZ4,TODAY()&lt;CB4)</formula>
    </cfRule>
    <cfRule type="expression" dxfId="290" priority="553">
      <formula>BZ$2=-1</formula>
    </cfRule>
  </conditionalFormatting>
  <conditionalFormatting sqref="BZ3">
    <cfRule type="expression" dxfId="289" priority="554">
      <formula>AND(TODAY()&gt;=BZ4,TODAY()&lt;CB4)</formula>
    </cfRule>
    <cfRule type="expression" dxfId="288" priority="555">
      <formula>BZ$2=-1</formula>
    </cfRule>
  </conditionalFormatting>
  <conditionalFormatting sqref="J6:BZ7 J11:JI25 J27:BZ28 J32:JI46 J68:JI68 J89:JI89 J110:JI110 J131:JI131 J152:JI152 J173:JI173">
    <cfRule type="expression" dxfId="287" priority="494">
      <formula>AND(J$4&gt;=$H6,J$4&lt;=$I6,$E6="Needs Attn")</formula>
    </cfRule>
    <cfRule type="expression" dxfId="286" priority="495">
      <formula>AND(J$4&gt;=$H6,J$4&lt;=$I6,$E6="Complete")</formula>
    </cfRule>
    <cfRule type="expression" dxfId="285" priority="496">
      <formula>AND(J$4&gt;=$H6,J$4&lt;=$I6,$E6="On Track")</formula>
    </cfRule>
    <cfRule type="expression" dxfId="284" priority="497">
      <formula>AND(J$4&gt;=$H6,J$4&lt;=$I6,$E6="On Hold")</formula>
    </cfRule>
  </conditionalFormatting>
  <conditionalFormatting sqref="J8:BZ9">
    <cfRule type="expression" dxfId="283" priority="389">
      <formula>AND(J$4&gt;=$H8,J$4&lt;=$I8,$E8="Needs Attn")</formula>
    </cfRule>
    <cfRule type="expression" dxfId="282" priority="390">
      <formula>AND(J$4&gt;=$H8,J$4&lt;=$I8,$E8="Complete")</formula>
    </cfRule>
    <cfRule type="expression" dxfId="281" priority="391">
      <formula>AND(J$4&gt;=$H8,J$4&lt;=$I8,$E8="On Track")</formula>
    </cfRule>
    <cfRule type="expression" dxfId="280" priority="392">
      <formula>AND(J$4&gt;=$H8,J$4&lt;=$I8,$E8="On Hold")</formula>
    </cfRule>
  </conditionalFormatting>
  <conditionalFormatting sqref="J10:JI10">
    <cfRule type="expression" dxfId="279" priority="365">
      <formula>AND(J$4&gt;=$H10,J$4&lt;=$I10,$E10="Needs Attn")</formula>
    </cfRule>
    <cfRule type="expression" dxfId="278" priority="366">
      <formula>AND(J$4&gt;=$H10,J$4&lt;=$I10,$E10="Complete")</formula>
    </cfRule>
    <cfRule type="expression" dxfId="277" priority="367">
      <formula>AND(J$4&gt;=$H10,J$4&lt;=$I10,$E10="On Track")</formula>
    </cfRule>
    <cfRule type="expression" dxfId="276" priority="368">
      <formula>AND(J$4&gt;=$H10,J$4&lt;=$I10,$E10="On Hold")</formula>
    </cfRule>
  </conditionalFormatting>
  <conditionalFormatting sqref="CA4:JI4">
    <cfRule type="expression" dxfId="275" priority="355">
      <formula>AND(TODAY()&gt;=CA4,TODAY()&lt;CB4)</formula>
    </cfRule>
    <cfRule type="expression" dxfId="274" priority="356">
      <formula>CA$2=-1</formula>
    </cfRule>
  </conditionalFormatting>
  <conditionalFormatting sqref="CA3:JI3">
    <cfRule type="expression" dxfId="273" priority="353">
      <formula>AND(TODAY()&gt;=CA4,TODAY()&lt;CB4)</formula>
    </cfRule>
    <cfRule type="expression" dxfId="272" priority="354">
      <formula>CA$2=-1</formula>
    </cfRule>
  </conditionalFormatting>
  <conditionalFormatting sqref="CA6:CE7">
    <cfRule type="expression" dxfId="271" priority="349">
      <formula>AND(CA$4&gt;=$H6,CA$4&lt;=$I6,$E6="Needs Attn")</formula>
    </cfRule>
    <cfRule type="expression" dxfId="270" priority="350">
      <formula>AND(CA$4&gt;=$H6,CA$4&lt;=$I6,$E6="Complete")</formula>
    </cfRule>
    <cfRule type="expression" dxfId="269" priority="351">
      <formula>AND(CA$4&gt;=$H6,CA$4&lt;=$I6,$E6="On Track")</formula>
    </cfRule>
    <cfRule type="expression" dxfId="268" priority="352">
      <formula>AND(CA$4&gt;=$H6,CA$4&lt;=$I6,$E6="On Hold")</formula>
    </cfRule>
  </conditionalFormatting>
  <conditionalFormatting sqref="CA8:CE9">
    <cfRule type="expression" dxfId="267" priority="345">
      <formula>AND(CA$4&gt;=$H8,CA$4&lt;=$I8,$E8="Needs Attn")</formula>
    </cfRule>
    <cfRule type="expression" dxfId="266" priority="346">
      <formula>AND(CA$4&gt;=$H8,CA$4&lt;=$I8,$E8="Complete")</formula>
    </cfRule>
    <cfRule type="expression" dxfId="265" priority="347">
      <formula>AND(CA$4&gt;=$H8,CA$4&lt;=$I8,$E8="On Track")</formula>
    </cfRule>
    <cfRule type="expression" dxfId="264" priority="348">
      <formula>AND(CA$4&gt;=$H8,CA$4&lt;=$I8,$E8="On Hold")</formula>
    </cfRule>
  </conditionalFormatting>
  <conditionalFormatting sqref="CF6:JI7">
    <cfRule type="expression" dxfId="263" priority="337">
      <formula>AND(CF$4&gt;=$H6,CF$4&lt;=$I6,$E6="Needs Attn")</formula>
    </cfRule>
    <cfRule type="expression" dxfId="262" priority="338">
      <formula>AND(CF$4&gt;=$H6,CF$4&lt;=$I6,$E6="Complete")</formula>
    </cfRule>
    <cfRule type="expression" dxfId="261" priority="339">
      <formula>AND(CF$4&gt;=$H6,CF$4&lt;=$I6,$E6="On Track")</formula>
    </cfRule>
    <cfRule type="expression" dxfId="260" priority="340">
      <formula>AND(CF$4&gt;=$H6,CF$4&lt;=$I6,$E6="On Hold")</formula>
    </cfRule>
  </conditionalFormatting>
  <conditionalFormatting sqref="CF8:JI9">
    <cfRule type="expression" dxfId="259" priority="333">
      <formula>AND(CF$4&gt;=$H8,CF$4&lt;=$I8,$E8="Blocked")</formula>
    </cfRule>
    <cfRule type="expression" dxfId="258" priority="334">
      <formula>AND(CF$4&gt;=$H8,CF$4&lt;=$I8,$E8="Complete")</formula>
    </cfRule>
    <cfRule type="expression" dxfId="257" priority="335">
      <formula>AND(CF$4&gt;=$H8,CF$4&lt;=$I8,$E8="On Track")</formula>
    </cfRule>
    <cfRule type="expression" dxfId="256" priority="336">
      <formula>AND(CF$4&gt;=$H8,CF$4&lt;=$I8,$E8="On Hold")</formula>
    </cfRule>
  </conditionalFormatting>
  <conditionalFormatting sqref="J5:BZ5">
    <cfRule type="expression" dxfId="255" priority="325">
      <formula>AND(J$4&gt;=$H5,J$4&lt;=$I5,$E5="Needs Attn")</formula>
    </cfRule>
    <cfRule type="expression" dxfId="254" priority="326">
      <formula>AND(J$4&gt;=$H5,J$4&lt;=$I5,$E5="Complete")</formula>
    </cfRule>
    <cfRule type="expression" dxfId="253" priority="327">
      <formula>AND(J$4&gt;=$H5,J$4&lt;=$I5,$E5="On Track")</formula>
    </cfRule>
    <cfRule type="expression" dxfId="252" priority="328">
      <formula>AND(J$4&gt;=$H5,J$4&lt;=$I5,$E5="On Hold")</formula>
    </cfRule>
  </conditionalFormatting>
  <conditionalFormatting sqref="CA5:CE5">
    <cfRule type="expression" dxfId="251" priority="321">
      <formula>AND(CA$4&gt;=$H5,CA$4&lt;=$I5,$E5="Needs Attn")</formula>
    </cfRule>
    <cfRule type="expression" dxfId="250" priority="322">
      <formula>AND(CA$4&gt;=$H5,CA$4&lt;=$I5,$E5="Complete")</formula>
    </cfRule>
    <cfRule type="expression" dxfId="249" priority="323">
      <formula>AND(CA$4&gt;=$H5,CA$4&lt;=$I5,$E5="On Track")</formula>
    </cfRule>
    <cfRule type="expression" dxfId="248" priority="324">
      <formula>AND(CA$4&gt;=$H5,CA$4&lt;=$I5,$E5="On Hold")</formula>
    </cfRule>
  </conditionalFormatting>
  <conditionalFormatting sqref="CF5:JI5">
    <cfRule type="expression" dxfId="247" priority="317">
      <formula>AND(CF$4&gt;=$H5,CF$4&lt;=$I5,$E5="Needs Attn")</formula>
    </cfRule>
    <cfRule type="expression" dxfId="246" priority="318">
      <formula>AND(CF$4&gt;=$H5,CF$4&lt;=$I5,$E5="Complete")</formula>
    </cfRule>
    <cfRule type="expression" dxfId="245" priority="319">
      <formula>AND(CF$4&gt;=$H5,CF$4&lt;=$I5,$E5="On Track")</formula>
    </cfRule>
    <cfRule type="expression" dxfId="244" priority="320">
      <formula>AND(CF$4&gt;=$H5,CF$4&lt;=$I5,$E5="On Hold")</formula>
    </cfRule>
  </conditionalFormatting>
  <conditionalFormatting sqref="J26:BZ26">
    <cfRule type="expression" dxfId="243" priority="313">
      <formula>AND(J$4&gt;=$H26,J$4&lt;=$I26,$E26="Needs Attn")</formula>
    </cfRule>
    <cfRule type="expression" dxfId="242" priority="314">
      <formula>AND(J$4&gt;=$H26,J$4&lt;=$I26,$E26="Complete")</formula>
    </cfRule>
    <cfRule type="expression" dxfId="241" priority="315">
      <formula>AND(J$4&gt;=$H26,J$4&lt;=$I26,$E26="On Track")</formula>
    </cfRule>
    <cfRule type="expression" dxfId="240" priority="316">
      <formula>AND(J$4&gt;=$H26,J$4&lt;=$I26,$E26="On Hold")</formula>
    </cfRule>
  </conditionalFormatting>
  <conditionalFormatting sqref="CA26:CE26">
    <cfRule type="expression" dxfId="239" priority="309">
      <formula>AND(CA$4&gt;=$H26,CA$4&lt;=$I26,$E26="Needs Attn")</formula>
    </cfRule>
    <cfRule type="expression" dxfId="238" priority="310">
      <formula>AND(CA$4&gt;=$H26,CA$4&lt;=$I26,$E26="Complete")</formula>
    </cfRule>
    <cfRule type="expression" dxfId="237" priority="311">
      <formula>AND(CA$4&gt;=$H26,CA$4&lt;=$I26,$E26="On Track")</formula>
    </cfRule>
    <cfRule type="expression" dxfId="236" priority="312">
      <formula>AND(CA$4&gt;=$H26,CA$4&lt;=$I26,$E26="On Hold")</formula>
    </cfRule>
  </conditionalFormatting>
  <conditionalFormatting sqref="CF26:JI26">
    <cfRule type="expression" dxfId="235" priority="305">
      <formula>AND(CF$4&gt;=$H26,CF$4&lt;=$I26,$E26="Needs Attn")</formula>
    </cfRule>
    <cfRule type="expression" dxfId="234" priority="306">
      <formula>AND(CF$4&gt;=$H26,CF$4&lt;=$I26,$E26="Complete")</formula>
    </cfRule>
    <cfRule type="expression" dxfId="233" priority="307">
      <formula>AND(CF$4&gt;=$H26,CF$4&lt;=$I26,$E26="On Track")</formula>
    </cfRule>
    <cfRule type="expression" dxfId="232" priority="308">
      <formula>AND(CF$4&gt;=$H26,CF$4&lt;=$I26,$E26="On Hold")</formula>
    </cfRule>
  </conditionalFormatting>
  <conditionalFormatting sqref="J47:BZ47">
    <cfRule type="expression" dxfId="231" priority="301">
      <formula>AND(J$4&gt;=$H47,J$4&lt;=$I47,$E47="Needs Attn")</formula>
    </cfRule>
    <cfRule type="expression" dxfId="230" priority="302">
      <formula>AND(J$4&gt;=$H47,J$4&lt;=$I47,$E47="Complete")</formula>
    </cfRule>
    <cfRule type="expression" dxfId="229" priority="303">
      <formula>AND(J$4&gt;=$H47,J$4&lt;=$I47,$E47="On Track")</formula>
    </cfRule>
    <cfRule type="expression" dxfId="228" priority="304">
      <formula>AND(J$4&gt;=$H47,J$4&lt;=$I47,$E47="On Hold")</formula>
    </cfRule>
  </conditionalFormatting>
  <conditionalFormatting sqref="CA47:CE47">
    <cfRule type="expression" dxfId="227" priority="297">
      <formula>AND(CA$4&gt;=$H47,CA$4&lt;=$I47,$E47="Needs Attn")</formula>
    </cfRule>
    <cfRule type="expression" dxfId="226" priority="298">
      <formula>AND(CA$4&gt;=$H47,CA$4&lt;=$I47,$E47="Complete")</formula>
    </cfRule>
    <cfRule type="expression" dxfId="225" priority="299">
      <formula>AND(CA$4&gt;=$H47,CA$4&lt;=$I47,$E47="On Track")</formula>
    </cfRule>
    <cfRule type="expression" dxfId="224" priority="300">
      <formula>AND(CA$4&gt;=$H47,CA$4&lt;=$I47,$E47="On Hold")</formula>
    </cfRule>
  </conditionalFormatting>
  <conditionalFormatting sqref="CF47:JI47">
    <cfRule type="expression" dxfId="223" priority="293">
      <formula>AND(CF$4&gt;=$H47,CF$4&lt;=$I47,$E47="Needs Attn")</formula>
    </cfRule>
    <cfRule type="expression" dxfId="222" priority="294">
      <formula>AND(CF$4&gt;=$H47,CF$4&lt;=$I47,$E47="Complete")</formula>
    </cfRule>
    <cfRule type="expression" dxfId="221" priority="295">
      <formula>AND(CF$4&gt;=$H47,CF$4&lt;=$I47,$E47="On Track")</formula>
    </cfRule>
    <cfRule type="expression" dxfId="220" priority="296">
      <formula>AND(CF$4&gt;=$H47,CF$4&lt;=$I47,$E47="On Hold")</formula>
    </cfRule>
  </conditionalFormatting>
  <conditionalFormatting sqref="J29:BZ30">
    <cfRule type="expression" dxfId="219" priority="217">
      <formula>AND(J$4&gt;=$H29,J$4&lt;=$I29,$E29="Needs Attn")</formula>
    </cfRule>
    <cfRule type="expression" dxfId="218" priority="218">
      <formula>AND(J$4&gt;=$H29,J$4&lt;=$I29,$E29="Complete")</formula>
    </cfRule>
    <cfRule type="expression" dxfId="217" priority="219">
      <formula>AND(J$4&gt;=$H29,J$4&lt;=$I29,$E29="On Track")</formula>
    </cfRule>
    <cfRule type="expression" dxfId="216" priority="220">
      <formula>AND(J$4&gt;=$H29,J$4&lt;=$I29,$E29="On Hold")</formula>
    </cfRule>
  </conditionalFormatting>
  <conditionalFormatting sqref="J31:JI31">
    <cfRule type="expression" dxfId="215" priority="213">
      <formula>AND(J$4&gt;=$H31,J$4&lt;=$I31,$E31="Needs Attn")</formula>
    </cfRule>
    <cfRule type="expression" dxfId="214" priority="214">
      <formula>AND(J$4&gt;=$H31,J$4&lt;=$I31,$E31="Complete")</formula>
    </cfRule>
    <cfRule type="expression" dxfId="213" priority="215">
      <formula>AND(J$4&gt;=$H31,J$4&lt;=$I31,$E31="On Track")</formula>
    </cfRule>
    <cfRule type="expression" dxfId="212" priority="216">
      <formula>AND(J$4&gt;=$H31,J$4&lt;=$I31,$E31="On Hold")</formula>
    </cfRule>
  </conditionalFormatting>
  <conditionalFormatting sqref="CA27:CE28">
    <cfRule type="expression" dxfId="211" priority="209">
      <formula>AND(CA$4&gt;=$H27,CA$4&lt;=$I27,$E27="Needs Attn")</formula>
    </cfRule>
    <cfRule type="expression" dxfId="210" priority="210">
      <formula>AND(CA$4&gt;=$H27,CA$4&lt;=$I27,$E27="Complete")</formula>
    </cfRule>
    <cfRule type="expression" dxfId="209" priority="211">
      <formula>AND(CA$4&gt;=$H27,CA$4&lt;=$I27,$E27="On Track")</formula>
    </cfRule>
    <cfRule type="expression" dxfId="208" priority="212">
      <formula>AND(CA$4&gt;=$H27,CA$4&lt;=$I27,$E27="On Hold")</formula>
    </cfRule>
  </conditionalFormatting>
  <conditionalFormatting sqref="CA29:CE30">
    <cfRule type="expression" dxfId="207" priority="205">
      <formula>AND(CA$4&gt;=$H29,CA$4&lt;=$I29,$E29="Needs Attn")</formula>
    </cfRule>
    <cfRule type="expression" dxfId="206" priority="206">
      <formula>AND(CA$4&gt;=$H29,CA$4&lt;=$I29,$E29="Complete")</formula>
    </cfRule>
    <cfRule type="expression" dxfId="205" priority="207">
      <formula>AND(CA$4&gt;=$H29,CA$4&lt;=$I29,$E29="On Track")</formula>
    </cfRule>
    <cfRule type="expression" dxfId="204" priority="208">
      <formula>AND(CA$4&gt;=$H29,CA$4&lt;=$I29,$E29="On Hold")</formula>
    </cfRule>
  </conditionalFormatting>
  <conditionalFormatting sqref="CF27:JI28">
    <cfRule type="expression" dxfId="203" priority="201">
      <formula>AND(CF$4&gt;=$H27,CF$4&lt;=$I27,$E27="Needs Attn")</formula>
    </cfRule>
    <cfRule type="expression" dxfId="202" priority="202">
      <formula>AND(CF$4&gt;=$H27,CF$4&lt;=$I27,$E27="Complete")</formula>
    </cfRule>
    <cfRule type="expression" dxfId="201" priority="203">
      <formula>AND(CF$4&gt;=$H27,CF$4&lt;=$I27,$E27="On Track")</formula>
    </cfRule>
    <cfRule type="expression" dxfId="200" priority="204">
      <formula>AND(CF$4&gt;=$H27,CF$4&lt;=$I27,$E27="On Hold")</formula>
    </cfRule>
  </conditionalFormatting>
  <conditionalFormatting sqref="CF29:JI30">
    <cfRule type="expression" dxfId="199" priority="197">
      <formula>AND(CF$4&gt;=$H29,CF$4&lt;=$I29,$E29="Blocked")</formula>
    </cfRule>
    <cfRule type="expression" dxfId="198" priority="198">
      <formula>AND(CF$4&gt;=$H29,CF$4&lt;=$I29,$E29="Complete")</formula>
    </cfRule>
    <cfRule type="expression" dxfId="197" priority="199">
      <formula>AND(CF$4&gt;=$H29,CF$4&lt;=$I29,$E29="On Track")</formula>
    </cfRule>
    <cfRule type="expression" dxfId="196" priority="200">
      <formula>AND(CF$4&gt;=$H29,CF$4&lt;=$I29,$E29="On Hold")</formula>
    </cfRule>
  </conditionalFormatting>
  <conditionalFormatting sqref="J48:BZ49 J53:JI67">
    <cfRule type="expression" dxfId="195" priority="193">
      <formula>AND(J$4&gt;=$H48,J$4&lt;=$I48,$E48="Needs Attn")</formula>
    </cfRule>
    <cfRule type="expression" dxfId="194" priority="194">
      <formula>AND(J$4&gt;=$H48,J$4&lt;=$I48,$E48="Complete")</formula>
    </cfRule>
    <cfRule type="expression" dxfId="193" priority="195">
      <formula>AND(J$4&gt;=$H48,J$4&lt;=$I48,$E48="On Track")</formula>
    </cfRule>
    <cfRule type="expression" dxfId="192" priority="196">
      <formula>AND(J$4&gt;=$H48,J$4&lt;=$I48,$E48="On Hold")</formula>
    </cfRule>
  </conditionalFormatting>
  <conditionalFormatting sqref="J50:BZ51">
    <cfRule type="expression" dxfId="191" priority="189">
      <formula>AND(J$4&gt;=$H50,J$4&lt;=$I50,$E50="Needs Attn")</formula>
    </cfRule>
    <cfRule type="expression" dxfId="190" priority="190">
      <formula>AND(J$4&gt;=$H50,J$4&lt;=$I50,$E50="Complete")</formula>
    </cfRule>
    <cfRule type="expression" dxfId="189" priority="191">
      <formula>AND(J$4&gt;=$H50,J$4&lt;=$I50,$E50="On Track")</formula>
    </cfRule>
    <cfRule type="expression" dxfId="188" priority="192">
      <formula>AND(J$4&gt;=$H50,J$4&lt;=$I50,$E50="On Hold")</formula>
    </cfRule>
  </conditionalFormatting>
  <conditionalFormatting sqref="J52:JI52">
    <cfRule type="expression" dxfId="187" priority="185">
      <formula>AND(J$4&gt;=$H52,J$4&lt;=$I52,$E52="Needs Attn")</formula>
    </cfRule>
    <cfRule type="expression" dxfId="186" priority="186">
      <formula>AND(J$4&gt;=$H52,J$4&lt;=$I52,$E52="Complete")</formula>
    </cfRule>
    <cfRule type="expression" dxfId="185" priority="187">
      <formula>AND(J$4&gt;=$H52,J$4&lt;=$I52,$E52="On Track")</formula>
    </cfRule>
    <cfRule type="expression" dxfId="184" priority="188">
      <formula>AND(J$4&gt;=$H52,J$4&lt;=$I52,$E52="On Hold")</formula>
    </cfRule>
  </conditionalFormatting>
  <conditionalFormatting sqref="CA48:CE49">
    <cfRule type="expression" dxfId="183" priority="181">
      <formula>AND(CA$4&gt;=$H48,CA$4&lt;=$I48,$E48="Needs Attn")</formula>
    </cfRule>
    <cfRule type="expression" dxfId="182" priority="182">
      <formula>AND(CA$4&gt;=$H48,CA$4&lt;=$I48,$E48="Complete")</formula>
    </cfRule>
    <cfRule type="expression" dxfId="181" priority="183">
      <formula>AND(CA$4&gt;=$H48,CA$4&lt;=$I48,$E48="On Track")</formula>
    </cfRule>
    <cfRule type="expression" dxfId="180" priority="184">
      <formula>AND(CA$4&gt;=$H48,CA$4&lt;=$I48,$E48="On Hold")</formula>
    </cfRule>
  </conditionalFormatting>
  <conditionalFormatting sqref="CA50:CE51">
    <cfRule type="expression" dxfId="179" priority="177">
      <formula>AND(CA$4&gt;=$H50,CA$4&lt;=$I50,$E50="Needs Attn")</formula>
    </cfRule>
    <cfRule type="expression" dxfId="178" priority="178">
      <formula>AND(CA$4&gt;=$H50,CA$4&lt;=$I50,$E50="Complete")</formula>
    </cfRule>
    <cfRule type="expression" dxfId="177" priority="179">
      <formula>AND(CA$4&gt;=$H50,CA$4&lt;=$I50,$E50="On Track")</formula>
    </cfRule>
    <cfRule type="expression" dxfId="176" priority="180">
      <formula>AND(CA$4&gt;=$H50,CA$4&lt;=$I50,$E50="On Hold")</formula>
    </cfRule>
  </conditionalFormatting>
  <conditionalFormatting sqref="CF48:JI49">
    <cfRule type="expression" dxfId="175" priority="173">
      <formula>AND(CF$4&gt;=$H48,CF$4&lt;=$I48,$E48="Needs Attn")</formula>
    </cfRule>
    <cfRule type="expression" dxfId="174" priority="174">
      <formula>AND(CF$4&gt;=$H48,CF$4&lt;=$I48,$E48="Complete")</formula>
    </cfRule>
    <cfRule type="expression" dxfId="173" priority="175">
      <formula>AND(CF$4&gt;=$H48,CF$4&lt;=$I48,$E48="On Track")</formula>
    </cfRule>
    <cfRule type="expression" dxfId="172" priority="176">
      <formula>AND(CF$4&gt;=$H48,CF$4&lt;=$I48,$E48="On Hold")</formula>
    </cfRule>
  </conditionalFormatting>
  <conditionalFormatting sqref="CF50:JI51">
    <cfRule type="expression" dxfId="171" priority="169">
      <formula>AND(CF$4&gt;=$H50,CF$4&lt;=$I50,$E50="Blocked")</formula>
    </cfRule>
    <cfRule type="expression" dxfId="170" priority="170">
      <formula>AND(CF$4&gt;=$H50,CF$4&lt;=$I50,$E50="Complete")</formula>
    </cfRule>
    <cfRule type="expression" dxfId="169" priority="171">
      <formula>AND(CF$4&gt;=$H50,CF$4&lt;=$I50,$E50="On Track")</formula>
    </cfRule>
    <cfRule type="expression" dxfId="168" priority="172">
      <formula>AND(CF$4&gt;=$H50,CF$4&lt;=$I50,$E50="On Hold")</formula>
    </cfRule>
  </conditionalFormatting>
  <conditionalFormatting sqref="J69:BZ70 J74:JI88">
    <cfRule type="expression" dxfId="167" priority="165">
      <formula>AND(J$4&gt;=$H69,J$4&lt;=$I69,$E69="Needs Attn")</formula>
    </cfRule>
    <cfRule type="expression" dxfId="166" priority="166">
      <formula>AND(J$4&gt;=$H69,J$4&lt;=$I69,$E69="Complete")</formula>
    </cfRule>
    <cfRule type="expression" dxfId="165" priority="167">
      <formula>AND(J$4&gt;=$H69,J$4&lt;=$I69,$E69="On Track")</formula>
    </cfRule>
    <cfRule type="expression" dxfId="164" priority="168">
      <formula>AND(J$4&gt;=$H69,J$4&lt;=$I69,$E69="On Hold")</formula>
    </cfRule>
  </conditionalFormatting>
  <conditionalFormatting sqref="J71:BZ72">
    <cfRule type="expression" dxfId="163" priority="161">
      <formula>AND(J$4&gt;=$H71,J$4&lt;=$I71,$E71="Needs Attn")</formula>
    </cfRule>
    <cfRule type="expression" dxfId="162" priority="162">
      <formula>AND(J$4&gt;=$H71,J$4&lt;=$I71,$E71="Complete")</formula>
    </cfRule>
    <cfRule type="expression" dxfId="161" priority="163">
      <formula>AND(J$4&gt;=$H71,J$4&lt;=$I71,$E71="On Track")</formula>
    </cfRule>
    <cfRule type="expression" dxfId="160" priority="164">
      <formula>AND(J$4&gt;=$H71,J$4&lt;=$I71,$E71="On Hold")</formula>
    </cfRule>
  </conditionalFormatting>
  <conditionalFormatting sqref="J73:JI73">
    <cfRule type="expression" dxfId="159" priority="157">
      <formula>AND(J$4&gt;=$H73,J$4&lt;=$I73,$E73="Needs Attn")</formula>
    </cfRule>
    <cfRule type="expression" dxfId="158" priority="158">
      <formula>AND(J$4&gt;=$H73,J$4&lt;=$I73,$E73="Complete")</formula>
    </cfRule>
    <cfRule type="expression" dxfId="157" priority="159">
      <formula>AND(J$4&gt;=$H73,J$4&lt;=$I73,$E73="On Track")</formula>
    </cfRule>
    <cfRule type="expression" dxfId="156" priority="160">
      <formula>AND(J$4&gt;=$H73,J$4&lt;=$I73,$E73="On Hold")</formula>
    </cfRule>
  </conditionalFormatting>
  <conditionalFormatting sqref="CA69:CE70">
    <cfRule type="expression" dxfId="155" priority="153">
      <formula>AND(CA$4&gt;=$H69,CA$4&lt;=$I69,$E69="Needs Attn")</formula>
    </cfRule>
    <cfRule type="expression" dxfId="154" priority="154">
      <formula>AND(CA$4&gt;=$H69,CA$4&lt;=$I69,$E69="Complete")</formula>
    </cfRule>
    <cfRule type="expression" dxfId="153" priority="155">
      <formula>AND(CA$4&gt;=$H69,CA$4&lt;=$I69,$E69="On Track")</formula>
    </cfRule>
    <cfRule type="expression" dxfId="152" priority="156">
      <formula>AND(CA$4&gt;=$H69,CA$4&lt;=$I69,$E69="On Hold")</formula>
    </cfRule>
  </conditionalFormatting>
  <conditionalFormatting sqref="CA71:CE72">
    <cfRule type="expression" dxfId="151" priority="149">
      <formula>AND(CA$4&gt;=$H71,CA$4&lt;=$I71,$E71="Needs Attn")</formula>
    </cfRule>
    <cfRule type="expression" dxfId="150" priority="150">
      <formula>AND(CA$4&gt;=$H71,CA$4&lt;=$I71,$E71="Complete")</formula>
    </cfRule>
    <cfRule type="expression" dxfId="149" priority="151">
      <formula>AND(CA$4&gt;=$H71,CA$4&lt;=$I71,$E71="On Track")</formula>
    </cfRule>
    <cfRule type="expression" dxfId="148" priority="152">
      <formula>AND(CA$4&gt;=$H71,CA$4&lt;=$I71,$E71="On Hold")</formula>
    </cfRule>
  </conditionalFormatting>
  <conditionalFormatting sqref="CF69:JI70">
    <cfRule type="expression" dxfId="147" priority="145">
      <formula>AND(CF$4&gt;=$H69,CF$4&lt;=$I69,$E69="Needs Attn")</formula>
    </cfRule>
    <cfRule type="expression" dxfId="146" priority="146">
      <formula>AND(CF$4&gt;=$H69,CF$4&lt;=$I69,$E69="Complete")</formula>
    </cfRule>
    <cfRule type="expression" dxfId="145" priority="147">
      <formula>AND(CF$4&gt;=$H69,CF$4&lt;=$I69,$E69="On Track")</formula>
    </cfRule>
    <cfRule type="expression" dxfId="144" priority="148">
      <formula>AND(CF$4&gt;=$H69,CF$4&lt;=$I69,$E69="On Hold")</formula>
    </cfRule>
  </conditionalFormatting>
  <conditionalFormatting sqref="CF71:JI72">
    <cfRule type="expression" dxfId="143" priority="141">
      <formula>AND(CF$4&gt;=$H71,CF$4&lt;=$I71,$E71="Blocked")</formula>
    </cfRule>
    <cfRule type="expression" dxfId="142" priority="142">
      <formula>AND(CF$4&gt;=$H71,CF$4&lt;=$I71,$E71="Complete")</formula>
    </cfRule>
    <cfRule type="expression" dxfId="141" priority="143">
      <formula>AND(CF$4&gt;=$H71,CF$4&lt;=$I71,$E71="On Track")</formula>
    </cfRule>
    <cfRule type="expression" dxfId="140" priority="144">
      <formula>AND(CF$4&gt;=$H71,CF$4&lt;=$I71,$E71="On Hold")</formula>
    </cfRule>
  </conditionalFormatting>
  <conditionalFormatting sqref="J90:BZ91 J95:JI109">
    <cfRule type="expression" dxfId="139" priority="137">
      <formula>AND(J$4&gt;=$H90,J$4&lt;=$I90,$E90="Needs Attn")</formula>
    </cfRule>
    <cfRule type="expression" dxfId="138" priority="138">
      <formula>AND(J$4&gt;=$H90,J$4&lt;=$I90,$E90="Complete")</formula>
    </cfRule>
    <cfRule type="expression" dxfId="137" priority="139">
      <formula>AND(J$4&gt;=$H90,J$4&lt;=$I90,$E90="On Track")</formula>
    </cfRule>
    <cfRule type="expression" dxfId="136" priority="140">
      <formula>AND(J$4&gt;=$H90,J$4&lt;=$I90,$E90="On Hold")</formula>
    </cfRule>
  </conditionalFormatting>
  <conditionalFormatting sqref="J92:BZ93">
    <cfRule type="expression" dxfId="135" priority="133">
      <formula>AND(J$4&gt;=$H92,J$4&lt;=$I92,$E92="Needs Attn")</formula>
    </cfRule>
    <cfRule type="expression" dxfId="134" priority="134">
      <formula>AND(J$4&gt;=$H92,J$4&lt;=$I92,$E92="Complete")</formula>
    </cfRule>
    <cfRule type="expression" dxfId="133" priority="135">
      <formula>AND(J$4&gt;=$H92,J$4&lt;=$I92,$E92="On Track")</formula>
    </cfRule>
    <cfRule type="expression" dxfId="132" priority="136">
      <formula>AND(J$4&gt;=$H92,J$4&lt;=$I92,$E92="On Hold")</formula>
    </cfRule>
  </conditionalFormatting>
  <conditionalFormatting sqref="J94:JI94">
    <cfRule type="expression" dxfId="131" priority="129">
      <formula>AND(J$4&gt;=$H94,J$4&lt;=$I94,$E94="Needs Attn")</formula>
    </cfRule>
    <cfRule type="expression" dxfId="130" priority="130">
      <formula>AND(J$4&gt;=$H94,J$4&lt;=$I94,$E94="Complete")</formula>
    </cfRule>
    <cfRule type="expression" dxfId="129" priority="131">
      <formula>AND(J$4&gt;=$H94,J$4&lt;=$I94,$E94="On Track")</formula>
    </cfRule>
    <cfRule type="expression" dxfId="128" priority="132">
      <formula>AND(J$4&gt;=$H94,J$4&lt;=$I94,$E94="On Hold")</formula>
    </cfRule>
  </conditionalFormatting>
  <conditionalFormatting sqref="CA90:CE91">
    <cfRule type="expression" dxfId="127" priority="125">
      <formula>AND(CA$4&gt;=$H90,CA$4&lt;=$I90,$E90="Needs Attn")</formula>
    </cfRule>
    <cfRule type="expression" dxfId="126" priority="126">
      <formula>AND(CA$4&gt;=$H90,CA$4&lt;=$I90,$E90="Complete")</formula>
    </cfRule>
    <cfRule type="expression" dxfId="125" priority="127">
      <formula>AND(CA$4&gt;=$H90,CA$4&lt;=$I90,$E90="On Track")</formula>
    </cfRule>
    <cfRule type="expression" dxfId="124" priority="128">
      <formula>AND(CA$4&gt;=$H90,CA$4&lt;=$I90,$E90="On Hold")</formula>
    </cfRule>
  </conditionalFormatting>
  <conditionalFormatting sqref="CA92:CE93">
    <cfRule type="expression" dxfId="123" priority="121">
      <formula>AND(CA$4&gt;=$H92,CA$4&lt;=$I92,$E92="Needs Attn")</formula>
    </cfRule>
    <cfRule type="expression" dxfId="122" priority="122">
      <formula>AND(CA$4&gt;=$H92,CA$4&lt;=$I92,$E92="Complete")</formula>
    </cfRule>
    <cfRule type="expression" dxfId="121" priority="123">
      <formula>AND(CA$4&gt;=$H92,CA$4&lt;=$I92,$E92="On Track")</formula>
    </cfRule>
    <cfRule type="expression" dxfId="120" priority="124">
      <formula>AND(CA$4&gt;=$H92,CA$4&lt;=$I92,$E92="On Hold")</formula>
    </cfRule>
  </conditionalFormatting>
  <conditionalFormatting sqref="CF90:JI91">
    <cfRule type="expression" dxfId="119" priority="117">
      <formula>AND(CF$4&gt;=$H90,CF$4&lt;=$I90,$E90="Needs Attn")</formula>
    </cfRule>
    <cfRule type="expression" dxfId="118" priority="118">
      <formula>AND(CF$4&gt;=$H90,CF$4&lt;=$I90,$E90="Complete")</formula>
    </cfRule>
    <cfRule type="expression" dxfId="117" priority="119">
      <formula>AND(CF$4&gt;=$H90,CF$4&lt;=$I90,$E90="On Track")</formula>
    </cfRule>
    <cfRule type="expression" dxfId="116" priority="120">
      <formula>AND(CF$4&gt;=$H90,CF$4&lt;=$I90,$E90="On Hold")</formula>
    </cfRule>
  </conditionalFormatting>
  <conditionalFormatting sqref="CF92:JI93">
    <cfRule type="expression" dxfId="115" priority="113">
      <formula>AND(CF$4&gt;=$H92,CF$4&lt;=$I92,$E92="Blocked")</formula>
    </cfRule>
    <cfRule type="expression" dxfId="114" priority="114">
      <formula>AND(CF$4&gt;=$H92,CF$4&lt;=$I92,$E92="Complete")</formula>
    </cfRule>
    <cfRule type="expression" dxfId="113" priority="115">
      <formula>AND(CF$4&gt;=$H92,CF$4&lt;=$I92,$E92="On Track")</formula>
    </cfRule>
    <cfRule type="expression" dxfId="112" priority="116">
      <formula>AND(CF$4&gt;=$H92,CF$4&lt;=$I92,$E92="On Hold")</formula>
    </cfRule>
  </conditionalFormatting>
  <conditionalFormatting sqref="J111:BZ112 J116:JI130">
    <cfRule type="expression" dxfId="111" priority="109">
      <formula>AND(J$4&gt;=$H111,J$4&lt;=$I111,$E111="Needs Attn")</formula>
    </cfRule>
    <cfRule type="expression" dxfId="110" priority="110">
      <formula>AND(J$4&gt;=$H111,J$4&lt;=$I111,$E111="Complete")</formula>
    </cfRule>
    <cfRule type="expression" dxfId="109" priority="111">
      <formula>AND(J$4&gt;=$H111,J$4&lt;=$I111,$E111="On Track")</formula>
    </cfRule>
    <cfRule type="expression" dxfId="108" priority="112">
      <formula>AND(J$4&gt;=$H111,J$4&lt;=$I111,$E111="On Hold")</formula>
    </cfRule>
  </conditionalFormatting>
  <conditionalFormatting sqref="J113:BZ114">
    <cfRule type="expression" dxfId="107" priority="105">
      <formula>AND(J$4&gt;=$H113,J$4&lt;=$I113,$E113="Needs Attn")</formula>
    </cfRule>
    <cfRule type="expression" dxfId="106" priority="106">
      <formula>AND(J$4&gt;=$H113,J$4&lt;=$I113,$E113="Complete")</formula>
    </cfRule>
    <cfRule type="expression" dxfId="105" priority="107">
      <formula>AND(J$4&gt;=$H113,J$4&lt;=$I113,$E113="On Track")</formula>
    </cfRule>
    <cfRule type="expression" dxfId="104" priority="108">
      <formula>AND(J$4&gt;=$H113,J$4&lt;=$I113,$E113="On Hold")</formula>
    </cfRule>
  </conditionalFormatting>
  <conditionalFormatting sqref="J115:JI115">
    <cfRule type="expression" dxfId="103" priority="101">
      <formula>AND(J$4&gt;=$H115,J$4&lt;=$I115,$E115="Needs Attn")</formula>
    </cfRule>
    <cfRule type="expression" dxfId="102" priority="102">
      <formula>AND(J$4&gt;=$H115,J$4&lt;=$I115,$E115="Complete")</formula>
    </cfRule>
    <cfRule type="expression" dxfId="101" priority="103">
      <formula>AND(J$4&gt;=$H115,J$4&lt;=$I115,$E115="On Track")</formula>
    </cfRule>
    <cfRule type="expression" dxfId="100" priority="104">
      <formula>AND(J$4&gt;=$H115,J$4&lt;=$I115,$E115="On Hold")</formula>
    </cfRule>
  </conditionalFormatting>
  <conditionalFormatting sqref="CA111:CE112">
    <cfRule type="expression" dxfId="99" priority="97">
      <formula>AND(CA$4&gt;=$H111,CA$4&lt;=$I111,$E111="Needs Attn")</formula>
    </cfRule>
    <cfRule type="expression" dxfId="98" priority="98">
      <formula>AND(CA$4&gt;=$H111,CA$4&lt;=$I111,$E111="Complete")</formula>
    </cfRule>
    <cfRule type="expression" dxfId="97" priority="99">
      <formula>AND(CA$4&gt;=$H111,CA$4&lt;=$I111,$E111="On Track")</formula>
    </cfRule>
    <cfRule type="expression" dxfId="96" priority="100">
      <formula>AND(CA$4&gt;=$H111,CA$4&lt;=$I111,$E111="On Hold")</formula>
    </cfRule>
  </conditionalFormatting>
  <conditionalFormatting sqref="CA113:CE114">
    <cfRule type="expression" dxfId="95" priority="93">
      <formula>AND(CA$4&gt;=$H113,CA$4&lt;=$I113,$E113="Needs Attn")</formula>
    </cfRule>
    <cfRule type="expression" dxfId="94" priority="94">
      <formula>AND(CA$4&gt;=$H113,CA$4&lt;=$I113,$E113="Complete")</formula>
    </cfRule>
    <cfRule type="expression" dxfId="93" priority="95">
      <formula>AND(CA$4&gt;=$H113,CA$4&lt;=$I113,$E113="On Track")</formula>
    </cfRule>
    <cfRule type="expression" dxfId="92" priority="96">
      <formula>AND(CA$4&gt;=$H113,CA$4&lt;=$I113,$E113="On Hold")</formula>
    </cfRule>
  </conditionalFormatting>
  <conditionalFormatting sqref="CF111:JI112">
    <cfRule type="expression" dxfId="91" priority="89">
      <formula>AND(CF$4&gt;=$H111,CF$4&lt;=$I111,$E111="Needs Attn")</formula>
    </cfRule>
    <cfRule type="expression" dxfId="90" priority="90">
      <formula>AND(CF$4&gt;=$H111,CF$4&lt;=$I111,$E111="Complete")</formula>
    </cfRule>
    <cfRule type="expression" dxfId="89" priority="91">
      <formula>AND(CF$4&gt;=$H111,CF$4&lt;=$I111,$E111="On Track")</formula>
    </cfRule>
    <cfRule type="expression" dxfId="88" priority="92">
      <formula>AND(CF$4&gt;=$H111,CF$4&lt;=$I111,$E111="On Hold")</formula>
    </cfRule>
  </conditionalFormatting>
  <conditionalFormatting sqref="CF113:JI114">
    <cfRule type="expression" dxfId="87" priority="85">
      <formula>AND(CF$4&gt;=$H113,CF$4&lt;=$I113,$E113="Blocked")</formula>
    </cfRule>
    <cfRule type="expression" dxfId="86" priority="86">
      <formula>AND(CF$4&gt;=$H113,CF$4&lt;=$I113,$E113="Complete")</formula>
    </cfRule>
    <cfRule type="expression" dxfId="85" priority="87">
      <formula>AND(CF$4&gt;=$H113,CF$4&lt;=$I113,$E113="On Track")</formula>
    </cfRule>
    <cfRule type="expression" dxfId="84" priority="88">
      <formula>AND(CF$4&gt;=$H113,CF$4&lt;=$I113,$E113="On Hold")</formula>
    </cfRule>
  </conditionalFormatting>
  <conditionalFormatting sqref="J132:BZ133 J137:JI151">
    <cfRule type="expression" dxfId="83" priority="81">
      <formula>AND(J$4&gt;=$H132,J$4&lt;=$I132,$E132="Needs Attn")</formula>
    </cfRule>
    <cfRule type="expression" dxfId="82" priority="82">
      <formula>AND(J$4&gt;=$H132,J$4&lt;=$I132,$E132="Complete")</formula>
    </cfRule>
    <cfRule type="expression" dxfId="81" priority="83">
      <formula>AND(J$4&gt;=$H132,J$4&lt;=$I132,$E132="On Track")</formula>
    </cfRule>
    <cfRule type="expression" dxfId="80" priority="84">
      <formula>AND(J$4&gt;=$H132,J$4&lt;=$I132,$E132="On Hold")</formula>
    </cfRule>
  </conditionalFormatting>
  <conditionalFormatting sqref="J134:BZ135">
    <cfRule type="expression" dxfId="79" priority="77">
      <formula>AND(J$4&gt;=$H134,J$4&lt;=$I134,$E134="Needs Attn")</formula>
    </cfRule>
    <cfRule type="expression" dxfId="78" priority="78">
      <formula>AND(J$4&gt;=$H134,J$4&lt;=$I134,$E134="Complete")</formula>
    </cfRule>
    <cfRule type="expression" dxfId="77" priority="79">
      <formula>AND(J$4&gt;=$H134,J$4&lt;=$I134,$E134="On Track")</formula>
    </cfRule>
    <cfRule type="expression" dxfId="76" priority="80">
      <formula>AND(J$4&gt;=$H134,J$4&lt;=$I134,$E134="On Hold")</formula>
    </cfRule>
  </conditionalFormatting>
  <conditionalFormatting sqref="J136:JI136">
    <cfRule type="expression" dxfId="75" priority="73">
      <formula>AND(J$4&gt;=$H136,J$4&lt;=$I136,$E136="Needs Attn")</formula>
    </cfRule>
    <cfRule type="expression" dxfId="74" priority="74">
      <formula>AND(J$4&gt;=$H136,J$4&lt;=$I136,$E136="Complete")</formula>
    </cfRule>
    <cfRule type="expression" dxfId="73" priority="75">
      <formula>AND(J$4&gt;=$H136,J$4&lt;=$I136,$E136="On Track")</formula>
    </cfRule>
    <cfRule type="expression" dxfId="72" priority="76">
      <formula>AND(J$4&gt;=$H136,J$4&lt;=$I136,$E136="On Hold")</formula>
    </cfRule>
  </conditionalFormatting>
  <conditionalFormatting sqref="CA132:CE133">
    <cfRule type="expression" dxfId="71" priority="69">
      <formula>AND(CA$4&gt;=$H132,CA$4&lt;=$I132,$E132="Needs Attn")</formula>
    </cfRule>
    <cfRule type="expression" dxfId="70" priority="70">
      <formula>AND(CA$4&gt;=$H132,CA$4&lt;=$I132,$E132="Complete")</formula>
    </cfRule>
    <cfRule type="expression" dxfId="69" priority="71">
      <formula>AND(CA$4&gt;=$H132,CA$4&lt;=$I132,$E132="On Track")</formula>
    </cfRule>
    <cfRule type="expression" dxfId="68" priority="72">
      <formula>AND(CA$4&gt;=$H132,CA$4&lt;=$I132,$E132="On Hold")</formula>
    </cfRule>
  </conditionalFormatting>
  <conditionalFormatting sqref="CA134:CE135">
    <cfRule type="expression" dxfId="67" priority="65">
      <formula>AND(CA$4&gt;=$H134,CA$4&lt;=$I134,$E134="Needs Attn")</formula>
    </cfRule>
    <cfRule type="expression" dxfId="66" priority="66">
      <formula>AND(CA$4&gt;=$H134,CA$4&lt;=$I134,$E134="Complete")</formula>
    </cfRule>
    <cfRule type="expression" dxfId="65" priority="67">
      <formula>AND(CA$4&gt;=$H134,CA$4&lt;=$I134,$E134="On Track")</formula>
    </cfRule>
    <cfRule type="expression" dxfId="64" priority="68">
      <formula>AND(CA$4&gt;=$H134,CA$4&lt;=$I134,$E134="On Hold")</formula>
    </cfRule>
  </conditionalFormatting>
  <conditionalFormatting sqref="CF132:JI133">
    <cfRule type="expression" dxfId="63" priority="61">
      <formula>AND(CF$4&gt;=$H132,CF$4&lt;=$I132,$E132="Needs Attn")</formula>
    </cfRule>
    <cfRule type="expression" dxfId="62" priority="62">
      <formula>AND(CF$4&gt;=$H132,CF$4&lt;=$I132,$E132="Complete")</formula>
    </cfRule>
    <cfRule type="expression" dxfId="61" priority="63">
      <formula>AND(CF$4&gt;=$H132,CF$4&lt;=$I132,$E132="On Track")</formula>
    </cfRule>
    <cfRule type="expression" dxfId="60" priority="64">
      <formula>AND(CF$4&gt;=$H132,CF$4&lt;=$I132,$E132="On Hold")</formula>
    </cfRule>
  </conditionalFormatting>
  <conditionalFormatting sqref="CF134:JI135">
    <cfRule type="expression" dxfId="59" priority="57">
      <formula>AND(CF$4&gt;=$H134,CF$4&lt;=$I134,$E134="Blocked")</formula>
    </cfRule>
    <cfRule type="expression" dxfId="58" priority="58">
      <formula>AND(CF$4&gt;=$H134,CF$4&lt;=$I134,$E134="Complete")</formula>
    </cfRule>
    <cfRule type="expression" dxfId="57" priority="59">
      <formula>AND(CF$4&gt;=$H134,CF$4&lt;=$I134,$E134="On Track")</formula>
    </cfRule>
    <cfRule type="expression" dxfId="56" priority="60">
      <formula>AND(CF$4&gt;=$H134,CF$4&lt;=$I134,$E134="On Hold")</formula>
    </cfRule>
  </conditionalFormatting>
  <conditionalFormatting sqref="J153:BZ154 J158:JI172">
    <cfRule type="expression" dxfId="55" priority="53">
      <formula>AND(J$4&gt;=$H153,J$4&lt;=$I153,$E153="Needs Attn")</formula>
    </cfRule>
    <cfRule type="expression" dxfId="54" priority="54">
      <formula>AND(J$4&gt;=$H153,J$4&lt;=$I153,$E153="Complete")</formula>
    </cfRule>
    <cfRule type="expression" dxfId="53" priority="55">
      <formula>AND(J$4&gt;=$H153,J$4&lt;=$I153,$E153="On Track")</formula>
    </cfRule>
    <cfRule type="expression" dxfId="52" priority="56">
      <formula>AND(J$4&gt;=$H153,J$4&lt;=$I153,$E153="On Hold")</formula>
    </cfRule>
  </conditionalFormatting>
  <conditionalFormatting sqref="J155:BZ156">
    <cfRule type="expression" dxfId="51" priority="49">
      <formula>AND(J$4&gt;=$H155,J$4&lt;=$I155,$E155="Needs Attn")</formula>
    </cfRule>
    <cfRule type="expression" dxfId="50" priority="50">
      <formula>AND(J$4&gt;=$H155,J$4&lt;=$I155,$E155="Complete")</formula>
    </cfRule>
    <cfRule type="expression" dxfId="49" priority="51">
      <formula>AND(J$4&gt;=$H155,J$4&lt;=$I155,$E155="On Track")</formula>
    </cfRule>
    <cfRule type="expression" dxfId="48" priority="52">
      <formula>AND(J$4&gt;=$H155,J$4&lt;=$I155,$E155="On Hold")</formula>
    </cfRule>
  </conditionalFormatting>
  <conditionalFormatting sqref="J157:JI157">
    <cfRule type="expression" dxfId="47" priority="45">
      <formula>AND(J$4&gt;=$H157,J$4&lt;=$I157,$E157="Needs Attn")</formula>
    </cfRule>
    <cfRule type="expression" dxfId="46" priority="46">
      <formula>AND(J$4&gt;=$H157,J$4&lt;=$I157,$E157="Complete")</formula>
    </cfRule>
    <cfRule type="expression" dxfId="45" priority="47">
      <formula>AND(J$4&gt;=$H157,J$4&lt;=$I157,$E157="On Track")</formula>
    </cfRule>
    <cfRule type="expression" dxfId="44" priority="48">
      <formula>AND(J$4&gt;=$H157,J$4&lt;=$I157,$E157="On Hold")</formula>
    </cfRule>
  </conditionalFormatting>
  <conditionalFormatting sqref="CA153:CE154">
    <cfRule type="expression" dxfId="43" priority="41">
      <formula>AND(CA$4&gt;=$H153,CA$4&lt;=$I153,$E153="Needs Attn")</formula>
    </cfRule>
    <cfRule type="expression" dxfId="42" priority="42">
      <formula>AND(CA$4&gt;=$H153,CA$4&lt;=$I153,$E153="Complete")</formula>
    </cfRule>
    <cfRule type="expression" dxfId="41" priority="43">
      <formula>AND(CA$4&gt;=$H153,CA$4&lt;=$I153,$E153="On Track")</formula>
    </cfRule>
    <cfRule type="expression" dxfId="40" priority="44">
      <formula>AND(CA$4&gt;=$H153,CA$4&lt;=$I153,$E153="On Hold")</formula>
    </cfRule>
  </conditionalFormatting>
  <conditionalFormatting sqref="CA155:CE156">
    <cfRule type="expression" dxfId="39" priority="37">
      <formula>AND(CA$4&gt;=$H155,CA$4&lt;=$I155,$E155="Needs Attn")</formula>
    </cfRule>
    <cfRule type="expression" dxfId="38" priority="38">
      <formula>AND(CA$4&gt;=$H155,CA$4&lt;=$I155,$E155="Complete")</formula>
    </cfRule>
    <cfRule type="expression" dxfId="37" priority="39">
      <formula>AND(CA$4&gt;=$H155,CA$4&lt;=$I155,$E155="On Track")</formula>
    </cfRule>
    <cfRule type="expression" dxfId="36" priority="40">
      <formula>AND(CA$4&gt;=$H155,CA$4&lt;=$I155,$E155="On Hold")</formula>
    </cfRule>
  </conditionalFormatting>
  <conditionalFormatting sqref="CF153:JI154">
    <cfRule type="expression" dxfId="35" priority="33">
      <formula>AND(CF$4&gt;=$H153,CF$4&lt;=$I153,$E153="Needs Attn")</formula>
    </cfRule>
    <cfRule type="expression" dxfId="34" priority="34">
      <formula>AND(CF$4&gt;=$H153,CF$4&lt;=$I153,$E153="Complete")</formula>
    </cfRule>
    <cfRule type="expression" dxfId="33" priority="35">
      <formula>AND(CF$4&gt;=$H153,CF$4&lt;=$I153,$E153="On Track")</formula>
    </cfRule>
    <cfRule type="expression" dxfId="32" priority="36">
      <formula>AND(CF$4&gt;=$H153,CF$4&lt;=$I153,$E153="On Hold")</formula>
    </cfRule>
  </conditionalFormatting>
  <conditionalFormatting sqref="CF155:JI156">
    <cfRule type="expression" dxfId="31" priority="29">
      <formula>AND(CF$4&gt;=$H155,CF$4&lt;=$I155,$E155="Blocked")</formula>
    </cfRule>
    <cfRule type="expression" dxfId="30" priority="30">
      <formula>AND(CF$4&gt;=$H155,CF$4&lt;=$I155,$E155="Complete")</formula>
    </cfRule>
    <cfRule type="expression" dxfId="29" priority="31">
      <formula>AND(CF$4&gt;=$H155,CF$4&lt;=$I155,$E155="On Track")</formula>
    </cfRule>
    <cfRule type="expression" dxfId="28" priority="32">
      <formula>AND(CF$4&gt;=$H155,CF$4&lt;=$I155,$E155="On Hold")</formula>
    </cfRule>
  </conditionalFormatting>
  <conditionalFormatting sqref="J174:BZ175 J179:JI193">
    <cfRule type="expression" dxfId="27" priority="25">
      <formula>AND(J$4&gt;=$H174,J$4&lt;=$I174,$E174="Needs Attn")</formula>
    </cfRule>
    <cfRule type="expression" dxfId="26" priority="26">
      <formula>AND(J$4&gt;=$H174,J$4&lt;=$I174,$E174="Complete")</formula>
    </cfRule>
    <cfRule type="expression" dxfId="25" priority="27">
      <formula>AND(J$4&gt;=$H174,J$4&lt;=$I174,$E174="On Track")</formula>
    </cfRule>
    <cfRule type="expression" dxfId="24" priority="28">
      <formula>AND(J$4&gt;=$H174,J$4&lt;=$I174,$E174="On Hold")</formula>
    </cfRule>
  </conditionalFormatting>
  <conditionalFormatting sqref="J176:BZ177">
    <cfRule type="expression" dxfId="23" priority="21">
      <formula>AND(J$4&gt;=$H176,J$4&lt;=$I176,$E176="Needs Attn")</formula>
    </cfRule>
    <cfRule type="expression" dxfId="22" priority="22">
      <formula>AND(J$4&gt;=$H176,J$4&lt;=$I176,$E176="Complete")</formula>
    </cfRule>
    <cfRule type="expression" dxfId="21" priority="23">
      <formula>AND(J$4&gt;=$H176,J$4&lt;=$I176,$E176="On Track")</formula>
    </cfRule>
    <cfRule type="expression" dxfId="20" priority="24">
      <formula>AND(J$4&gt;=$H176,J$4&lt;=$I176,$E176="On Hold")</formula>
    </cfRule>
  </conditionalFormatting>
  <conditionalFormatting sqref="J178:JI178">
    <cfRule type="expression" dxfId="19" priority="17">
      <formula>AND(J$4&gt;=$H178,J$4&lt;=$I178,$E178="Needs Attn")</formula>
    </cfRule>
    <cfRule type="expression" dxfId="18" priority="18">
      <formula>AND(J$4&gt;=$H178,J$4&lt;=$I178,$E178="Complete")</formula>
    </cfRule>
    <cfRule type="expression" dxfId="17" priority="19">
      <formula>AND(J$4&gt;=$H178,J$4&lt;=$I178,$E178="On Track")</formula>
    </cfRule>
    <cfRule type="expression" dxfId="16" priority="20">
      <formula>AND(J$4&gt;=$H178,J$4&lt;=$I178,$E178="On Hold")</formula>
    </cfRule>
  </conditionalFormatting>
  <conditionalFormatting sqref="CA174:CE175">
    <cfRule type="expression" dxfId="15" priority="13">
      <formula>AND(CA$4&gt;=$H174,CA$4&lt;=$I174,$E174="Needs Attn")</formula>
    </cfRule>
    <cfRule type="expression" dxfId="14" priority="14">
      <formula>AND(CA$4&gt;=$H174,CA$4&lt;=$I174,$E174="Complete")</formula>
    </cfRule>
    <cfRule type="expression" dxfId="13" priority="15">
      <formula>AND(CA$4&gt;=$H174,CA$4&lt;=$I174,$E174="On Track")</formula>
    </cfRule>
    <cfRule type="expression" dxfId="12" priority="16">
      <formula>AND(CA$4&gt;=$H174,CA$4&lt;=$I174,$E174="On Hold")</formula>
    </cfRule>
  </conditionalFormatting>
  <conditionalFormatting sqref="CA176:CE177">
    <cfRule type="expression" dxfId="11" priority="9">
      <formula>AND(CA$4&gt;=$H176,CA$4&lt;=$I176,$E176="Needs Attn")</formula>
    </cfRule>
    <cfRule type="expression" dxfId="10" priority="10">
      <formula>AND(CA$4&gt;=$H176,CA$4&lt;=$I176,$E176="Complete")</formula>
    </cfRule>
    <cfRule type="expression" dxfId="9" priority="11">
      <formula>AND(CA$4&gt;=$H176,CA$4&lt;=$I176,$E176="On Track")</formula>
    </cfRule>
    <cfRule type="expression" dxfId="8" priority="12">
      <formula>AND(CA$4&gt;=$H176,CA$4&lt;=$I176,$E176="On Hold")</formula>
    </cfRule>
  </conditionalFormatting>
  <conditionalFormatting sqref="CF174:JI175">
    <cfRule type="expression" dxfId="7" priority="5">
      <formula>AND(CF$4&gt;=$H174,CF$4&lt;=$I174,$E174="Needs Attn")</formula>
    </cfRule>
    <cfRule type="expression" dxfId="6" priority="6">
      <formula>AND(CF$4&gt;=$H174,CF$4&lt;=$I174,$E174="Complete")</formula>
    </cfRule>
    <cfRule type="expression" dxfId="5" priority="7">
      <formula>AND(CF$4&gt;=$H174,CF$4&lt;=$I174,$E174="On Track")</formula>
    </cfRule>
    <cfRule type="expression" dxfId="4" priority="8">
      <formula>AND(CF$4&gt;=$H174,CF$4&lt;=$I174,$E174="On Hold")</formula>
    </cfRule>
  </conditionalFormatting>
  <conditionalFormatting sqref="CF176:JI177">
    <cfRule type="expression" dxfId="3" priority="1">
      <formula>AND(CF$4&gt;=$H176,CF$4&lt;=$I176,$E176="Blocked")</formula>
    </cfRule>
    <cfRule type="expression" dxfId="2" priority="2">
      <formula>AND(CF$4&gt;=$H176,CF$4&lt;=$I176,$E176="Complete")</formula>
    </cfRule>
    <cfRule type="expression" dxfId="1" priority="3">
      <formula>AND(CF$4&gt;=$H176,CF$4&lt;=$I176,$E176="On Track")</formula>
    </cfRule>
    <cfRule type="expression" dxfId="0" priority="4">
      <formula>AND(CF$4&gt;=$H176,CF$4&lt;=$I176,$E176="On Hold")</formula>
    </cfRule>
  </conditionalFormatting>
  <pageMargins left="0.7" right="0.7" top="0.75" bottom="0.75" header="0.3" footer="0.3"/>
  <pageSetup orientation="portrait" r:id="rId1"/>
  <headerFooter>
    <oddHeader>&amp;L&amp;"Calibri"&amp;10&amp;K000000•• PROTECTED 関係者外秘&amp;1#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2E1254-EE64-C94A-9494-11C49A1445AC}">
          <x14:formula1>
            <xm:f>ResourceList!$C$3:$C$34</xm:f>
          </x14:formula1>
          <xm:sqref>F6:G25 F48:G67 F132:G151 F69:G88 F111:G130 F27:G46 F153:G172 F90:G109 F174:G193</xm:sqref>
        </x14:dataValidation>
        <x14:dataValidation type="list" allowBlank="1" showInputMessage="1" showErrorMessage="1" xr:uid="{062B0340-9469-DB43-B8D6-2ED580BF4475}">
          <x14:formula1>
            <xm:f>Status!$B$4:$B$9</xm:f>
          </x14:formula1>
          <xm:sqref>E5:E193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4254-7FC9-A342-8922-4E833214C505}">
  <dimension ref="B2:D12"/>
  <sheetViews>
    <sheetView workbookViewId="0">
      <selection activeCell="D5" sqref="D5"/>
    </sheetView>
  </sheetViews>
  <sheetFormatPr defaultColWidth="11.42578125" defaultRowHeight="14.45"/>
  <cols>
    <col min="3" max="3" width="18.85546875" bestFit="1" customWidth="1"/>
    <col min="4" max="4" width="26.85546875" bestFit="1" customWidth="1"/>
  </cols>
  <sheetData>
    <row r="2" spans="2:4">
      <c r="B2" s="22" t="s">
        <v>22</v>
      </c>
      <c r="C2" s="22" t="s">
        <v>23</v>
      </c>
      <c r="D2" s="22" t="s">
        <v>24</v>
      </c>
    </row>
    <row r="3" spans="2:4">
      <c r="B3" t="s">
        <v>25</v>
      </c>
      <c r="C3" t="s">
        <v>26</v>
      </c>
      <c r="D3" t="s">
        <v>27</v>
      </c>
    </row>
    <row r="4" spans="2:4">
      <c r="B4" t="s">
        <v>25</v>
      </c>
      <c r="C4" t="s">
        <v>28</v>
      </c>
      <c r="D4" t="s">
        <v>29</v>
      </c>
    </row>
    <row r="5" spans="2:4">
      <c r="B5" t="s">
        <v>25</v>
      </c>
      <c r="C5" t="s">
        <v>30</v>
      </c>
    </row>
    <row r="6" spans="2:4">
      <c r="B6" t="s">
        <v>25</v>
      </c>
    </row>
    <row r="7" spans="2:4">
      <c r="B7" t="s">
        <v>25</v>
      </c>
    </row>
    <row r="8" spans="2:4">
      <c r="B8" t="s">
        <v>25</v>
      </c>
    </row>
    <row r="9" spans="2:4">
      <c r="B9" t="s">
        <v>25</v>
      </c>
    </row>
    <row r="10" spans="2:4">
      <c r="B10" t="s">
        <v>25</v>
      </c>
    </row>
    <row r="11" spans="2:4">
      <c r="B11" t="s">
        <v>25</v>
      </c>
    </row>
    <row r="12" spans="2:4">
      <c r="B1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E2DE-14D9-A946-9B3C-F93729C67B13}">
  <dimension ref="B4:N18"/>
  <sheetViews>
    <sheetView workbookViewId="0">
      <selection activeCell="C13" sqref="C13"/>
    </sheetView>
  </sheetViews>
  <sheetFormatPr defaultColWidth="8.85546875" defaultRowHeight="14.45"/>
  <cols>
    <col min="2" max="2" width="10.42578125" bestFit="1" customWidth="1"/>
    <col min="14" max="14" width="13.42578125" bestFit="1" customWidth="1"/>
  </cols>
  <sheetData>
    <row r="4" spans="2:14">
      <c r="B4" t="s">
        <v>9</v>
      </c>
    </row>
    <row r="5" spans="2:14">
      <c r="B5" t="s">
        <v>11</v>
      </c>
    </row>
    <row r="6" spans="2:14">
      <c r="B6" t="s">
        <v>14</v>
      </c>
    </row>
    <row r="7" spans="2:14">
      <c r="B7" t="s">
        <v>12</v>
      </c>
    </row>
    <row r="11" spans="2:14">
      <c r="N11" s="25"/>
    </row>
    <row r="12" spans="2:14">
      <c r="N12" s="25"/>
    </row>
    <row r="13" spans="2:14">
      <c r="N13" s="25"/>
    </row>
    <row r="14" spans="2:14">
      <c r="N14" s="25"/>
    </row>
    <row r="15" spans="2:14">
      <c r="N15" s="25"/>
    </row>
    <row r="16" spans="2:14">
      <c r="N16" s="25"/>
    </row>
    <row r="17" spans="14:14">
      <c r="N17" s="25"/>
    </row>
    <row r="18" spans="14:14">
      <c r="N18" s="25"/>
    </row>
  </sheetData>
  <pageMargins left="0.7" right="0.7" top="0.75" bottom="0.75" header="0.3" footer="0.3"/>
  <pageSetup orientation="portrait" r:id="rId1"/>
  <headerFooter>
    <oddHeader>&amp;L&amp;"Calibri"&amp;10&amp;K000000•• PROTECTED 関係者外秘&amp;1#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d85cb-ec0d-4be0-ac30-e21ccb1b258e">
      <Terms xmlns="http://schemas.microsoft.com/office/infopath/2007/PartnerControls"/>
    </lcf76f155ced4ddcb4097134ff3c332f>
    <TaxCatchAll xmlns="d0636c43-5581-43e2-a8ff-a6d44a26af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64CBAA657D6A4BA589F65EB1E78F96" ma:contentTypeVersion="12" ma:contentTypeDescription="Create a new document." ma:contentTypeScope="" ma:versionID="50aa269b7fd2e19a8363f657774811d7">
  <xsd:schema xmlns:xsd="http://www.w3.org/2001/XMLSchema" xmlns:xs="http://www.w3.org/2001/XMLSchema" xmlns:p="http://schemas.microsoft.com/office/2006/metadata/properties" xmlns:ns2="e95d85cb-ec0d-4be0-ac30-e21ccb1b258e" xmlns:ns3="d0636c43-5581-43e2-a8ff-a6d44a26af4e" targetNamespace="http://schemas.microsoft.com/office/2006/metadata/properties" ma:root="true" ma:fieldsID="7821f7651e74589fbe14e1f902921d0f" ns2:_="" ns3:_="">
    <xsd:import namespace="e95d85cb-ec0d-4be0-ac30-e21ccb1b258e"/>
    <xsd:import namespace="d0636c43-5581-43e2-a8ff-a6d44a26a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d85cb-ec0d-4be0-ac30-e21ccb1b25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86eeed-4b88-4c7d-a0f5-6cd87513ac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36c43-5581-43e2-a8ff-a6d44a26af4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bf8d98d-9185-4c27-a52a-31cc5fdcd3b1}" ma:internalName="TaxCatchAll" ma:showField="CatchAllData" ma:web="d0636c43-5581-43e2-a8ff-a6d44a26a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8AB4B3-0DD7-4F7E-8BE4-0D448B01B734}"/>
</file>

<file path=customXml/itemProps2.xml><?xml version="1.0" encoding="utf-8"?>
<ds:datastoreItem xmlns:ds="http://schemas.openxmlformats.org/officeDocument/2006/customXml" ds:itemID="{A607E250-A547-4BA2-8EA8-6E4E37C9F695}"/>
</file>

<file path=customXml/itemProps3.xml><?xml version="1.0" encoding="utf-8"?>
<ds:datastoreItem xmlns:ds="http://schemas.openxmlformats.org/officeDocument/2006/customXml" ds:itemID="{E7F6F2F9-FBA4-4AF2-BE01-070E12FA9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Mathis (TMNA)</dc:creator>
  <cp:keywords/>
  <dc:description/>
  <cp:lastModifiedBy/>
  <cp:revision/>
  <dcterms:created xsi:type="dcterms:W3CDTF">2022-03-03T12:34:20Z</dcterms:created>
  <dcterms:modified xsi:type="dcterms:W3CDTF">2026-07-14T17:11:39Z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b3c382-541a-4789-80ed-24b21ea5b276_Enabled">
    <vt:lpwstr>true</vt:lpwstr>
  </property>
  <property fmtid="{D5CDD505-2E9C-101B-9397-08002B2CF9AE}" pid="3" name="MSIP_Label_fbb3c382-541a-4789-80ed-24b21ea5b276_SetDate">
    <vt:lpwstr>2022-03-29T15:42:03Z</vt:lpwstr>
  </property>
  <property fmtid="{D5CDD505-2E9C-101B-9397-08002B2CF9AE}" pid="4" name="MSIP_Label_fbb3c382-541a-4789-80ed-24b21ea5b276_Method">
    <vt:lpwstr>Standard</vt:lpwstr>
  </property>
  <property fmtid="{D5CDD505-2E9C-101B-9397-08002B2CF9AE}" pid="5" name="MSIP_Label_fbb3c382-541a-4789-80ed-24b21ea5b276_Name">
    <vt:lpwstr>Protected 関係者外秘</vt:lpwstr>
  </property>
  <property fmtid="{D5CDD505-2E9C-101B-9397-08002B2CF9AE}" pid="6" name="MSIP_Label_fbb3c382-541a-4789-80ed-24b21ea5b276_SiteId">
    <vt:lpwstr>8c642d1d-d709-47b0-ab10-080af10798fb</vt:lpwstr>
  </property>
  <property fmtid="{D5CDD505-2E9C-101B-9397-08002B2CF9AE}" pid="7" name="MSIP_Label_fbb3c382-541a-4789-80ed-24b21ea5b276_ActionId">
    <vt:lpwstr>7bf7f55c-1874-4e55-8310-8b4f13853003</vt:lpwstr>
  </property>
  <property fmtid="{D5CDD505-2E9C-101B-9397-08002B2CF9AE}" pid="8" name="MSIP_Label_fbb3c382-541a-4789-80ed-24b21ea5b276_ContentBits">
    <vt:lpwstr>1</vt:lpwstr>
  </property>
  <property fmtid="{D5CDD505-2E9C-101B-9397-08002B2CF9AE}" pid="9" name="ContentTypeId">
    <vt:lpwstr>0x010100B864CBAA657D6A4BA589F65EB1E78F96</vt:lpwstr>
  </property>
  <property fmtid="{D5CDD505-2E9C-101B-9397-08002B2CF9AE}" pid="10" name="MediaServiceImageTags">
    <vt:lpwstr/>
  </property>
</Properties>
</file>